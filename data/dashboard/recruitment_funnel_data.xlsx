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esktop\"/>
    </mc:Choice>
  </mc:AlternateContent>
  <xr:revisionPtr revIDLastSave="0" documentId="13_ncr:9_{872EE7EA-711F-495C-82CC-B667E1C071E7}" xr6:coauthVersionLast="47" xr6:coauthVersionMax="47" xr10:uidLastSave="{00000000-0000-0000-0000-000000000000}"/>
  <bookViews>
    <workbookView xWindow="-120" yWindow="-120" windowWidth="20730" windowHeight="11040" activeTab="3" xr2:uid="{FEC21DB2-7A8F-403C-94B7-711514ABAA12}"/>
  </bookViews>
  <sheets>
    <sheet name="Raw_Data" sheetId="1" r:id="rId1"/>
    <sheet name="KPI_Summary" sheetId="2" r:id="rId2"/>
    <sheet name="Funnel Pivot Data" sheetId="3" r:id="rId3"/>
    <sheet name="Dashboard" sheetId="7" r:id="rId4"/>
  </sheets>
  <definedNames>
    <definedName name="Slicer_Department">#N/A</definedName>
    <definedName name="Slicer_Job_Role">#N/A</definedName>
    <definedName name="Slicer_Recruiter">#N/A</definedName>
  </definedNames>
  <calcPr calcId="0"/>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7" i="2" l="1"/>
  <c r="B7" i="2"/>
  <c r="A7" i="2"/>
  <c r="E2" i="2"/>
  <c r="D2" i="2"/>
  <c r="C2" i="2"/>
  <c r="B2" i="2"/>
  <c r="A2" i="2"/>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alcChain>
</file>

<file path=xl/sharedStrings.xml><?xml version="1.0" encoding="utf-8"?>
<sst xmlns="http://schemas.openxmlformats.org/spreadsheetml/2006/main" count="551" uniqueCount="134">
  <si>
    <t>Candidate_ID</t>
  </si>
  <si>
    <t>Job_Role</t>
  </si>
  <si>
    <t>Department</t>
  </si>
  <si>
    <t>Source_of_Hire</t>
  </si>
  <si>
    <t>Recruiter</t>
  </si>
  <si>
    <t>Application_Date</t>
  </si>
  <si>
    <t>Shortlisted_Date</t>
  </si>
  <si>
    <t>Interview_Date</t>
  </si>
  <si>
    <t>Offer_Date</t>
  </si>
  <si>
    <t>Joining_Date</t>
  </si>
  <si>
    <t>Offer_Status</t>
  </si>
  <si>
    <t>Hiring_Status</t>
  </si>
  <si>
    <t>CAND001</t>
  </si>
  <si>
    <t>Data Analyst</t>
  </si>
  <si>
    <t>Analytics</t>
  </si>
  <si>
    <t>LinkedIn</t>
  </si>
  <si>
    <t>Recruiter C</t>
  </si>
  <si>
    <t>Accepted</t>
  </si>
  <si>
    <t>Joined</t>
  </si>
  <si>
    <t>CAND002</t>
  </si>
  <si>
    <t>Sales Executive</t>
  </si>
  <si>
    <t>Sales</t>
  </si>
  <si>
    <t>Recruiter A</t>
  </si>
  <si>
    <t>CAND003</t>
  </si>
  <si>
    <t>HR Executive</t>
  </si>
  <si>
    <t>HR</t>
  </si>
  <si>
    <t>Company Website</t>
  </si>
  <si>
    <t>Dropped</t>
  </si>
  <si>
    <t>CAND004</t>
  </si>
  <si>
    <t>Referral</t>
  </si>
  <si>
    <t>Recruiter B</t>
  </si>
  <si>
    <t>Declined</t>
  </si>
  <si>
    <t>CAND005</t>
  </si>
  <si>
    <t>CAND006</t>
  </si>
  <si>
    <t>Software Engineer</t>
  </si>
  <si>
    <t>Engineering</t>
  </si>
  <si>
    <t>CAND007</t>
  </si>
  <si>
    <t>CAND008</t>
  </si>
  <si>
    <t>Job Portal</t>
  </si>
  <si>
    <t>CAND009</t>
  </si>
  <si>
    <t>CAND010</t>
  </si>
  <si>
    <t>CAND011</t>
  </si>
  <si>
    <t>CAND012</t>
  </si>
  <si>
    <t>CAND013</t>
  </si>
  <si>
    <t>CAND014</t>
  </si>
  <si>
    <t>CAND015</t>
  </si>
  <si>
    <t>CAND016</t>
  </si>
  <si>
    <t>CAND017</t>
  </si>
  <si>
    <t>CAND018</t>
  </si>
  <si>
    <t>CAND019</t>
  </si>
  <si>
    <t>CAND020</t>
  </si>
  <si>
    <t>CAND021</t>
  </si>
  <si>
    <t>CAND022</t>
  </si>
  <si>
    <t>CAND023</t>
  </si>
  <si>
    <t>CAND024</t>
  </si>
  <si>
    <t>CAND025</t>
  </si>
  <si>
    <t>CAND026</t>
  </si>
  <si>
    <t>CAND027</t>
  </si>
  <si>
    <t>CAND028</t>
  </si>
  <si>
    <t>CAND029</t>
  </si>
  <si>
    <t>CAND030</t>
  </si>
  <si>
    <t>CAND031</t>
  </si>
  <si>
    <t>CAND032</t>
  </si>
  <si>
    <t>CAND033</t>
  </si>
  <si>
    <t>CAND034</t>
  </si>
  <si>
    <t>CAND035</t>
  </si>
  <si>
    <t>CAND036</t>
  </si>
  <si>
    <t>CAND037</t>
  </si>
  <si>
    <t>CAND038</t>
  </si>
  <si>
    <t>CAND039</t>
  </si>
  <si>
    <t>CAND040</t>
  </si>
  <si>
    <t>CAND041</t>
  </si>
  <si>
    <t>CAND042</t>
  </si>
  <si>
    <t>CAND043</t>
  </si>
  <si>
    <t>CAND044</t>
  </si>
  <si>
    <t>CAND045</t>
  </si>
  <si>
    <t>CAND046</t>
  </si>
  <si>
    <t>CAND047</t>
  </si>
  <si>
    <t>CAND048</t>
  </si>
  <si>
    <t>CAND049</t>
  </si>
  <si>
    <t>CAND050</t>
  </si>
  <si>
    <t>CAND051</t>
  </si>
  <si>
    <t>CAND052</t>
  </si>
  <si>
    <t>CAND053</t>
  </si>
  <si>
    <t>CAND054</t>
  </si>
  <si>
    <t>CAND055</t>
  </si>
  <si>
    <t>CAND056</t>
  </si>
  <si>
    <t>CAND057</t>
  </si>
  <si>
    <t>CAND058</t>
  </si>
  <si>
    <t>CAND059</t>
  </si>
  <si>
    <t>CAND060</t>
  </si>
  <si>
    <t>CAND061</t>
  </si>
  <si>
    <t>CAND062</t>
  </si>
  <si>
    <t>CAND063</t>
  </si>
  <si>
    <t>CAND064</t>
  </si>
  <si>
    <t>CAND065</t>
  </si>
  <si>
    <t>CAND066</t>
  </si>
  <si>
    <t>CAND067</t>
  </si>
  <si>
    <t>CAND068</t>
  </si>
  <si>
    <t>CAND069</t>
  </si>
  <si>
    <t>CAND070</t>
  </si>
  <si>
    <t>CAND071</t>
  </si>
  <si>
    <t>CAND072</t>
  </si>
  <si>
    <t>CAND073</t>
  </si>
  <si>
    <t>CAND074</t>
  </si>
  <si>
    <t>CAND075</t>
  </si>
  <si>
    <t>CAND076</t>
  </si>
  <si>
    <t>CAND077</t>
  </si>
  <si>
    <t>CAND078</t>
  </si>
  <si>
    <t>CAND079</t>
  </si>
  <si>
    <t>CAND080</t>
  </si>
  <si>
    <t>Shorlisted Flag</t>
  </si>
  <si>
    <t>Interviewed Flag</t>
  </si>
  <si>
    <t>Offered Flag</t>
  </si>
  <si>
    <t>Joined Flag</t>
  </si>
  <si>
    <t>Total Applications</t>
  </si>
  <si>
    <t>Total Shortlisted</t>
  </si>
  <si>
    <t>Total Interviewed</t>
  </si>
  <si>
    <t>Total Offers</t>
  </si>
  <si>
    <t>Total Joins</t>
  </si>
  <si>
    <t>Application-&gt; Shortlist %</t>
  </si>
  <si>
    <t>Interview → Offer %</t>
  </si>
  <si>
    <t>Offer Acceptance Rate</t>
  </si>
  <si>
    <t>Count of Candidate_ID</t>
  </si>
  <si>
    <t>Sum of Shorlisted Flag</t>
  </si>
  <si>
    <t>Sum of Interviewed Flag</t>
  </si>
  <si>
    <t>Sum of Offered Flag</t>
  </si>
  <si>
    <t>Sum of Joined Flag</t>
  </si>
  <si>
    <t>Row Labels</t>
  </si>
  <si>
    <t>(blank)</t>
  </si>
  <si>
    <t>Grand Total</t>
  </si>
  <si>
    <t>🔹 Highest drop-off occurs between Interview &amp; Offer stage</t>
  </si>
  <si>
    <t>🔹 Referrals show best offer-to-join ratio</t>
  </si>
  <si>
    <t>🔹 Average hiring efficiency varies by recruiter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</si>
</sst>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0" formatCode="General"/>
    </dxf>
    <dxf>
      <numFmt numFmtId="0" formatCode="General"/>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[recruitment_funnel_data.xlsx]Funnel Pivot Data!PivotTable1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'Funnel Pivot Data'!$A$3</c:f>
              <c:strCache>
                <c:ptCount val="1"/>
                <c:pt idx="0">
                  <c:v>Count of Candidate_ID</c:v>
                </c:pt>
              </c:strCache>
            </c:strRef>
          </c:tx>
          <c:spPr>
            <a:solidFill>
              <a:schemeClr val="accent1"/>
            </a:solidFill>
            <a:ln>
              <a:noFill/>
            </a:ln>
            <a:effectLst/>
          </c:spPr>
          <c:invertIfNegative val="0"/>
          <c:cat>
            <c:strRef>
              <c:f>'Funnel Pivot Data'!$A$4</c:f>
              <c:strCache>
                <c:ptCount val="1"/>
                <c:pt idx="0">
                  <c:v>Total</c:v>
                </c:pt>
              </c:strCache>
            </c:strRef>
          </c:cat>
          <c:val>
            <c:numRef>
              <c:f>'Funnel Pivot Data'!$A$4</c:f>
              <c:numCache>
                <c:formatCode>General</c:formatCode>
                <c:ptCount val="1"/>
                <c:pt idx="0">
                  <c:v>80</c:v>
                </c:pt>
              </c:numCache>
            </c:numRef>
          </c:val>
          <c:extLst>
            <c:ext xmlns:c16="http://schemas.microsoft.com/office/drawing/2014/chart" uri="{C3380CC4-5D6E-409C-BE32-E72D297353CC}">
              <c16:uniqueId val="{00000000-6D8F-4DF8-AF86-AC3DFB939914}"/>
            </c:ext>
          </c:extLst>
        </c:ser>
        <c:ser>
          <c:idx val="1"/>
          <c:order val="1"/>
          <c:tx>
            <c:strRef>
              <c:f>'Funnel Pivot Data'!$B$3</c:f>
              <c:strCache>
                <c:ptCount val="1"/>
                <c:pt idx="0">
                  <c:v>Sum of Shorlisted Flag</c:v>
                </c:pt>
              </c:strCache>
            </c:strRef>
          </c:tx>
          <c:spPr>
            <a:solidFill>
              <a:schemeClr val="accent2"/>
            </a:solidFill>
            <a:ln>
              <a:noFill/>
            </a:ln>
            <a:effectLst/>
          </c:spPr>
          <c:invertIfNegative val="0"/>
          <c:cat>
            <c:strRef>
              <c:f>'Funnel Pivot Data'!$A$4</c:f>
              <c:strCache>
                <c:ptCount val="1"/>
                <c:pt idx="0">
                  <c:v>Total</c:v>
                </c:pt>
              </c:strCache>
            </c:strRef>
          </c:cat>
          <c:val>
            <c:numRef>
              <c:f>'Funnel Pivot Data'!$B$4</c:f>
              <c:numCache>
                <c:formatCode>General</c:formatCode>
                <c:ptCount val="1"/>
                <c:pt idx="0">
                  <c:v>61</c:v>
                </c:pt>
              </c:numCache>
            </c:numRef>
          </c:val>
          <c:extLst>
            <c:ext xmlns:c16="http://schemas.microsoft.com/office/drawing/2014/chart" uri="{C3380CC4-5D6E-409C-BE32-E72D297353CC}">
              <c16:uniqueId val="{00000001-6D8F-4DF8-AF86-AC3DFB939914}"/>
            </c:ext>
          </c:extLst>
        </c:ser>
        <c:ser>
          <c:idx val="2"/>
          <c:order val="2"/>
          <c:tx>
            <c:strRef>
              <c:f>'Funnel Pivot Data'!$C$3</c:f>
              <c:strCache>
                <c:ptCount val="1"/>
                <c:pt idx="0">
                  <c:v>Sum of Interviewed Flag</c:v>
                </c:pt>
              </c:strCache>
            </c:strRef>
          </c:tx>
          <c:spPr>
            <a:solidFill>
              <a:schemeClr val="accent3"/>
            </a:solidFill>
            <a:ln>
              <a:noFill/>
            </a:ln>
            <a:effectLst/>
          </c:spPr>
          <c:invertIfNegative val="0"/>
          <c:cat>
            <c:strRef>
              <c:f>'Funnel Pivot Data'!$A$4</c:f>
              <c:strCache>
                <c:ptCount val="1"/>
                <c:pt idx="0">
                  <c:v>Total</c:v>
                </c:pt>
              </c:strCache>
            </c:strRef>
          </c:cat>
          <c:val>
            <c:numRef>
              <c:f>'Funnel Pivot Data'!$C$4</c:f>
              <c:numCache>
                <c:formatCode>General</c:formatCode>
                <c:ptCount val="1"/>
                <c:pt idx="0">
                  <c:v>37</c:v>
                </c:pt>
              </c:numCache>
            </c:numRef>
          </c:val>
          <c:extLst>
            <c:ext xmlns:c16="http://schemas.microsoft.com/office/drawing/2014/chart" uri="{C3380CC4-5D6E-409C-BE32-E72D297353CC}">
              <c16:uniqueId val="{00000002-6D8F-4DF8-AF86-AC3DFB939914}"/>
            </c:ext>
          </c:extLst>
        </c:ser>
        <c:ser>
          <c:idx val="3"/>
          <c:order val="3"/>
          <c:tx>
            <c:strRef>
              <c:f>'Funnel Pivot Data'!$D$3</c:f>
              <c:strCache>
                <c:ptCount val="1"/>
                <c:pt idx="0">
                  <c:v>Sum of Offered Flag</c:v>
                </c:pt>
              </c:strCache>
            </c:strRef>
          </c:tx>
          <c:spPr>
            <a:solidFill>
              <a:schemeClr val="accent4"/>
            </a:solidFill>
            <a:ln>
              <a:noFill/>
            </a:ln>
            <a:effectLst/>
          </c:spPr>
          <c:invertIfNegative val="0"/>
          <c:cat>
            <c:strRef>
              <c:f>'Funnel Pivot Data'!$A$4</c:f>
              <c:strCache>
                <c:ptCount val="1"/>
                <c:pt idx="0">
                  <c:v>Total</c:v>
                </c:pt>
              </c:strCache>
            </c:strRef>
          </c:cat>
          <c:val>
            <c:numRef>
              <c:f>'Funnel Pivot Data'!$D$4</c:f>
              <c:numCache>
                <c:formatCode>General</c:formatCode>
                <c:ptCount val="1"/>
                <c:pt idx="0">
                  <c:v>23</c:v>
                </c:pt>
              </c:numCache>
            </c:numRef>
          </c:val>
          <c:extLst>
            <c:ext xmlns:c16="http://schemas.microsoft.com/office/drawing/2014/chart" uri="{C3380CC4-5D6E-409C-BE32-E72D297353CC}">
              <c16:uniqueId val="{00000003-6D8F-4DF8-AF86-AC3DFB939914}"/>
            </c:ext>
          </c:extLst>
        </c:ser>
        <c:ser>
          <c:idx val="4"/>
          <c:order val="4"/>
          <c:tx>
            <c:strRef>
              <c:f>'Funnel Pivot Data'!$E$3</c:f>
              <c:strCache>
                <c:ptCount val="1"/>
                <c:pt idx="0">
                  <c:v>Sum of Joined Flag</c:v>
                </c:pt>
              </c:strCache>
            </c:strRef>
          </c:tx>
          <c:spPr>
            <a:solidFill>
              <a:schemeClr val="accent5"/>
            </a:solidFill>
            <a:ln>
              <a:noFill/>
            </a:ln>
            <a:effectLst/>
          </c:spPr>
          <c:invertIfNegative val="0"/>
          <c:cat>
            <c:strRef>
              <c:f>'Funnel Pivot Data'!$A$4</c:f>
              <c:strCache>
                <c:ptCount val="1"/>
                <c:pt idx="0">
                  <c:v>Total</c:v>
                </c:pt>
              </c:strCache>
            </c:strRef>
          </c:cat>
          <c:val>
            <c:numRef>
              <c:f>'Funnel Pivot Data'!$E$4</c:f>
              <c:numCache>
                <c:formatCode>General</c:formatCode>
                <c:ptCount val="1"/>
                <c:pt idx="0">
                  <c:v>13</c:v>
                </c:pt>
              </c:numCache>
            </c:numRef>
          </c:val>
          <c:extLst>
            <c:ext xmlns:c16="http://schemas.microsoft.com/office/drawing/2014/chart" uri="{C3380CC4-5D6E-409C-BE32-E72D297353CC}">
              <c16:uniqueId val="{00000004-6D8F-4DF8-AF86-AC3DFB939914}"/>
            </c:ext>
          </c:extLst>
        </c:ser>
        <c:dLbls>
          <c:showLegendKey val="0"/>
          <c:showVal val="0"/>
          <c:showCatName val="0"/>
          <c:showSerName val="0"/>
          <c:showPercent val="0"/>
          <c:showBubbleSize val="0"/>
        </c:dLbls>
        <c:gapWidth val="219"/>
        <c:overlap val="-27"/>
        <c:axId val="529621167"/>
        <c:axId val="529619727"/>
      </c:barChart>
      <c:catAx>
        <c:axId val="52962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19727"/>
        <c:crosses val="autoZero"/>
        <c:auto val="1"/>
        <c:lblAlgn val="ctr"/>
        <c:lblOffset val="100"/>
        <c:noMultiLvlLbl val="0"/>
      </c:catAx>
      <c:valAx>
        <c:axId val="52961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2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[recruitment_funnel_data.xlsx]Funnel Pivot Data!PivotTable4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Source of Hire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'Funnel Pivot Data'!$E$6</c:f>
              <c:strCache>
                <c:ptCount val="1"/>
                <c:pt idx="0">
                  <c:v>Total</c:v>
                </c:pt>
              </c:strCache>
            </c:strRef>
          </c:tx>
          <c:spPr>
            <a:solidFill>
              <a:schemeClr val="accent1"/>
            </a:solidFill>
            <a:ln>
              <a:noFill/>
            </a:ln>
            <a:effectLst/>
          </c:spPr>
          <c:invertIfNegative val="0"/>
          <c:cat>
            <c:strRef>
              <c:f>'Funnel Pivot Data'!$D$7:$D$12</c:f>
              <c:strCache>
                <c:ptCount val="5"/>
                <c:pt idx="0">
                  <c:v>Company Website</c:v>
                </c:pt>
                <c:pt idx="1">
                  <c:v>Job Portal</c:v>
                </c:pt>
                <c:pt idx="2">
                  <c:v>LinkedIn</c:v>
                </c:pt>
                <c:pt idx="3">
                  <c:v>Referral</c:v>
                </c:pt>
                <c:pt idx="4">
                  <c:v>(blank)</c:v>
                </c:pt>
              </c:strCache>
            </c:strRef>
          </c:cat>
          <c:val>
            <c:numRef>
              <c:f>'Funnel Pivot Data'!$E$7:$E$12</c:f>
              <c:numCache>
                <c:formatCode>General</c:formatCode>
                <c:ptCount val="5"/>
                <c:pt idx="0">
                  <c:v>3</c:v>
                </c:pt>
                <c:pt idx="1">
                  <c:v>4</c:v>
                </c:pt>
                <c:pt idx="2">
                  <c:v>5</c:v>
                </c:pt>
                <c:pt idx="3">
                  <c:v>1</c:v>
                </c:pt>
              </c:numCache>
            </c:numRef>
          </c:val>
          <c:extLst>
            <c:ext xmlns:c16="http://schemas.microsoft.com/office/drawing/2014/chart" uri="{C3380CC4-5D6E-409C-BE32-E72D297353CC}">
              <c16:uniqueId val="{00000000-8664-4B16-9F4D-DD094D4982AF}"/>
            </c:ext>
          </c:extLst>
        </c:ser>
        <c:dLbls>
          <c:showLegendKey val="0"/>
          <c:showVal val="0"/>
          <c:showCatName val="0"/>
          <c:showSerName val="0"/>
          <c:showPercent val="0"/>
          <c:showBubbleSize val="0"/>
        </c:dLbls>
        <c:gapWidth val="182"/>
        <c:axId val="1177273071"/>
        <c:axId val="1177268751"/>
      </c:barChart>
      <c:catAx>
        <c:axId val="117727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68751"/>
        <c:crosses val="autoZero"/>
        <c:auto val="1"/>
        <c:lblAlgn val="ctr"/>
        <c:lblOffset val="100"/>
        <c:noMultiLvlLbl val="0"/>
      </c:catAx>
      <c:valAx>
        <c:axId val="1177268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7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[recruitment_funnel_data.xlsx]Funnel Pivot Data!PivotTable5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Recruiter Performance Chart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'Funnel Pivot Data'!$I$6</c:f>
              <c:strCache>
                <c:ptCount val="1"/>
                <c:pt idx="0">
                  <c:v>Sum of Joined Flag</c:v>
                </c:pt>
              </c:strCache>
            </c:strRef>
          </c:tx>
          <c:spPr>
            <a:solidFill>
              <a:schemeClr val="accent1"/>
            </a:solidFill>
            <a:ln>
              <a:noFill/>
            </a:ln>
            <a:effectLst/>
          </c:spPr>
          <c:invertIfNegative val="0"/>
          <c:cat>
            <c:strRef>
              <c:f>'Funnel Pivot Data'!$H$7:$H$11</c:f>
              <c:strCache>
                <c:ptCount val="4"/>
                <c:pt idx="0">
                  <c:v>Recruiter A</c:v>
                </c:pt>
                <c:pt idx="1">
                  <c:v>Recruiter B</c:v>
                </c:pt>
                <c:pt idx="2">
                  <c:v>Recruiter C</c:v>
                </c:pt>
                <c:pt idx="3">
                  <c:v>(blank)</c:v>
                </c:pt>
              </c:strCache>
            </c:strRef>
          </c:cat>
          <c:val>
            <c:numRef>
              <c:f>'Funnel Pivot Data'!$I$7:$I$11</c:f>
              <c:numCache>
                <c:formatCode>General</c:formatCode>
                <c:ptCount val="4"/>
                <c:pt idx="0">
                  <c:v>4</c:v>
                </c:pt>
                <c:pt idx="1">
                  <c:v>5</c:v>
                </c:pt>
                <c:pt idx="2">
                  <c:v>4</c:v>
                </c:pt>
              </c:numCache>
            </c:numRef>
          </c:val>
          <c:extLst>
            <c:ext xmlns:c16="http://schemas.microsoft.com/office/drawing/2014/chart" uri="{C3380CC4-5D6E-409C-BE32-E72D297353CC}">
              <c16:uniqueId val="{00000000-843E-449D-B790-26D109AF6B6E}"/>
            </c:ext>
          </c:extLst>
        </c:ser>
        <c:ser>
          <c:idx val="1"/>
          <c:order val="1"/>
          <c:tx>
            <c:strRef>
              <c:f>'Funnel Pivot Data'!$J$6</c:f>
              <c:strCache>
                <c:ptCount val="1"/>
                <c:pt idx="0">
                  <c:v>Count of Candidate_ID</c:v>
                </c:pt>
              </c:strCache>
            </c:strRef>
          </c:tx>
          <c:spPr>
            <a:solidFill>
              <a:schemeClr val="accent2"/>
            </a:solidFill>
            <a:ln>
              <a:noFill/>
            </a:ln>
            <a:effectLst/>
          </c:spPr>
          <c:invertIfNegative val="0"/>
          <c:cat>
            <c:strRef>
              <c:f>'Funnel Pivot Data'!$H$7:$H$11</c:f>
              <c:strCache>
                <c:ptCount val="4"/>
                <c:pt idx="0">
                  <c:v>Recruiter A</c:v>
                </c:pt>
                <c:pt idx="1">
                  <c:v>Recruiter B</c:v>
                </c:pt>
                <c:pt idx="2">
                  <c:v>Recruiter C</c:v>
                </c:pt>
                <c:pt idx="3">
                  <c:v>(blank)</c:v>
                </c:pt>
              </c:strCache>
            </c:strRef>
          </c:cat>
          <c:val>
            <c:numRef>
              <c:f>'Funnel Pivot Data'!$J$7:$J$11</c:f>
              <c:numCache>
                <c:formatCode>General</c:formatCode>
                <c:ptCount val="4"/>
                <c:pt idx="0">
                  <c:v>20</c:v>
                </c:pt>
                <c:pt idx="1">
                  <c:v>28</c:v>
                </c:pt>
                <c:pt idx="2">
                  <c:v>32</c:v>
                </c:pt>
              </c:numCache>
            </c:numRef>
          </c:val>
          <c:extLst>
            <c:ext xmlns:c16="http://schemas.microsoft.com/office/drawing/2014/chart" uri="{C3380CC4-5D6E-409C-BE32-E72D297353CC}">
              <c16:uniqueId val="{00000001-843E-449D-B790-26D109AF6B6E}"/>
            </c:ext>
          </c:extLst>
        </c:ser>
        <c:dLbls>
          <c:showLegendKey val="0"/>
          <c:showVal val="0"/>
          <c:showCatName val="0"/>
          <c:showSerName val="0"/>
          <c:showPercent val="0"/>
          <c:showBubbleSize val="0"/>
        </c:dLbls>
        <c:gapWidth val="219"/>
        <c:overlap val="-27"/>
        <c:axId val="1210705423"/>
        <c:axId val="1210725583"/>
      </c:barChart>
      <c:catAx>
        <c:axId val="121070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25583"/>
        <c:crosses val="autoZero"/>
        <c:auto val="1"/>
        <c:lblAlgn val="ctr"/>
        <c:lblOffset val="100"/>
        <c:noMultiLvlLbl val="0"/>
      </c:catAx>
      <c:valAx>
        <c:axId val="121072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0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[recruitment_funnel_data.xlsx]Funnel Pivot Data!PivotTable1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'Funnel Pivot Data'!$A$3</c:f>
              <c:strCache>
                <c:ptCount val="1"/>
                <c:pt idx="0">
                  <c:v>Count of Candidate_ID</c:v>
                </c:pt>
              </c:strCache>
            </c:strRef>
          </c:tx>
          <c:spPr>
            <a:solidFill>
              <a:schemeClr val="accent1"/>
            </a:solidFill>
            <a:ln>
              <a:noFill/>
            </a:ln>
            <a:effectLst/>
          </c:spPr>
          <c:invertIfNegative val="0"/>
          <c:cat>
            <c:strRef>
              <c:f>'Funnel Pivot Data'!$A$4</c:f>
              <c:strCache>
                <c:ptCount val="1"/>
                <c:pt idx="0">
                  <c:v>Total</c:v>
                </c:pt>
              </c:strCache>
            </c:strRef>
          </c:cat>
          <c:val>
            <c:numRef>
              <c:f>'Funnel Pivot Data'!$A$4</c:f>
              <c:numCache>
                <c:formatCode>General</c:formatCode>
                <c:ptCount val="1"/>
                <c:pt idx="0">
                  <c:v>80</c:v>
                </c:pt>
              </c:numCache>
            </c:numRef>
          </c:val>
          <c:extLst>
            <c:ext xmlns:c16="http://schemas.microsoft.com/office/drawing/2014/chart" uri="{C3380CC4-5D6E-409C-BE32-E72D297353CC}">
              <c16:uniqueId val="{00000000-D3F7-4C70-895A-BDB8F5476EA5}"/>
            </c:ext>
          </c:extLst>
        </c:ser>
        <c:ser>
          <c:idx val="1"/>
          <c:order val="1"/>
          <c:tx>
            <c:strRef>
              <c:f>'Funnel Pivot Data'!$B$3</c:f>
              <c:strCache>
                <c:ptCount val="1"/>
                <c:pt idx="0">
                  <c:v>Sum of Shorlisted Flag</c:v>
                </c:pt>
              </c:strCache>
            </c:strRef>
          </c:tx>
          <c:spPr>
            <a:solidFill>
              <a:schemeClr val="accent2"/>
            </a:solidFill>
            <a:ln>
              <a:noFill/>
            </a:ln>
            <a:effectLst/>
          </c:spPr>
          <c:invertIfNegative val="0"/>
          <c:cat>
            <c:strRef>
              <c:f>'Funnel Pivot Data'!$A$4</c:f>
              <c:strCache>
                <c:ptCount val="1"/>
                <c:pt idx="0">
                  <c:v>Total</c:v>
                </c:pt>
              </c:strCache>
            </c:strRef>
          </c:cat>
          <c:val>
            <c:numRef>
              <c:f>'Funnel Pivot Data'!$B$4</c:f>
              <c:numCache>
                <c:formatCode>General</c:formatCode>
                <c:ptCount val="1"/>
                <c:pt idx="0">
                  <c:v>61</c:v>
                </c:pt>
              </c:numCache>
            </c:numRef>
          </c:val>
          <c:extLst>
            <c:ext xmlns:c16="http://schemas.microsoft.com/office/drawing/2014/chart" uri="{C3380CC4-5D6E-409C-BE32-E72D297353CC}">
              <c16:uniqueId val="{00000001-D3F7-4C70-895A-BDB8F5476EA5}"/>
            </c:ext>
          </c:extLst>
        </c:ser>
        <c:ser>
          <c:idx val="2"/>
          <c:order val="2"/>
          <c:tx>
            <c:strRef>
              <c:f>'Funnel Pivot Data'!$C$3</c:f>
              <c:strCache>
                <c:ptCount val="1"/>
                <c:pt idx="0">
                  <c:v>Sum of Interviewed Flag</c:v>
                </c:pt>
              </c:strCache>
            </c:strRef>
          </c:tx>
          <c:spPr>
            <a:solidFill>
              <a:schemeClr val="accent3"/>
            </a:solidFill>
            <a:ln>
              <a:noFill/>
            </a:ln>
            <a:effectLst/>
          </c:spPr>
          <c:invertIfNegative val="0"/>
          <c:cat>
            <c:strRef>
              <c:f>'Funnel Pivot Data'!$A$4</c:f>
              <c:strCache>
                <c:ptCount val="1"/>
                <c:pt idx="0">
                  <c:v>Total</c:v>
                </c:pt>
              </c:strCache>
            </c:strRef>
          </c:cat>
          <c:val>
            <c:numRef>
              <c:f>'Funnel Pivot Data'!$C$4</c:f>
              <c:numCache>
                <c:formatCode>General</c:formatCode>
                <c:ptCount val="1"/>
                <c:pt idx="0">
                  <c:v>37</c:v>
                </c:pt>
              </c:numCache>
            </c:numRef>
          </c:val>
          <c:extLst>
            <c:ext xmlns:c16="http://schemas.microsoft.com/office/drawing/2014/chart" uri="{C3380CC4-5D6E-409C-BE32-E72D297353CC}">
              <c16:uniqueId val="{00000002-D3F7-4C70-895A-BDB8F5476EA5}"/>
            </c:ext>
          </c:extLst>
        </c:ser>
        <c:ser>
          <c:idx val="3"/>
          <c:order val="3"/>
          <c:tx>
            <c:strRef>
              <c:f>'Funnel Pivot Data'!$D$3</c:f>
              <c:strCache>
                <c:ptCount val="1"/>
                <c:pt idx="0">
                  <c:v>Sum of Offered Flag</c:v>
                </c:pt>
              </c:strCache>
            </c:strRef>
          </c:tx>
          <c:spPr>
            <a:solidFill>
              <a:schemeClr val="accent4"/>
            </a:solidFill>
            <a:ln>
              <a:noFill/>
            </a:ln>
            <a:effectLst/>
          </c:spPr>
          <c:invertIfNegative val="0"/>
          <c:cat>
            <c:strRef>
              <c:f>'Funnel Pivot Data'!$A$4</c:f>
              <c:strCache>
                <c:ptCount val="1"/>
                <c:pt idx="0">
                  <c:v>Total</c:v>
                </c:pt>
              </c:strCache>
            </c:strRef>
          </c:cat>
          <c:val>
            <c:numRef>
              <c:f>'Funnel Pivot Data'!$D$4</c:f>
              <c:numCache>
                <c:formatCode>General</c:formatCode>
                <c:ptCount val="1"/>
                <c:pt idx="0">
                  <c:v>23</c:v>
                </c:pt>
              </c:numCache>
            </c:numRef>
          </c:val>
          <c:extLst>
            <c:ext xmlns:c16="http://schemas.microsoft.com/office/drawing/2014/chart" uri="{C3380CC4-5D6E-409C-BE32-E72D297353CC}">
              <c16:uniqueId val="{00000003-D3F7-4C70-895A-BDB8F5476EA5}"/>
            </c:ext>
          </c:extLst>
        </c:ser>
        <c:ser>
          <c:idx val="4"/>
          <c:order val="4"/>
          <c:tx>
            <c:strRef>
              <c:f>'Funnel Pivot Data'!$E$3</c:f>
              <c:strCache>
                <c:ptCount val="1"/>
                <c:pt idx="0">
                  <c:v>Sum of Joined Flag</c:v>
                </c:pt>
              </c:strCache>
            </c:strRef>
          </c:tx>
          <c:spPr>
            <a:solidFill>
              <a:schemeClr val="accent5"/>
            </a:solidFill>
            <a:ln>
              <a:noFill/>
            </a:ln>
            <a:effectLst/>
          </c:spPr>
          <c:invertIfNegative val="0"/>
          <c:cat>
            <c:strRef>
              <c:f>'Funnel Pivot Data'!$A$4</c:f>
              <c:strCache>
                <c:ptCount val="1"/>
                <c:pt idx="0">
                  <c:v>Total</c:v>
                </c:pt>
              </c:strCache>
            </c:strRef>
          </c:cat>
          <c:val>
            <c:numRef>
              <c:f>'Funnel Pivot Data'!$E$4</c:f>
              <c:numCache>
                <c:formatCode>General</c:formatCode>
                <c:ptCount val="1"/>
                <c:pt idx="0">
                  <c:v>13</c:v>
                </c:pt>
              </c:numCache>
            </c:numRef>
          </c:val>
          <c:extLst>
            <c:ext xmlns:c16="http://schemas.microsoft.com/office/drawing/2014/chart" uri="{C3380CC4-5D6E-409C-BE32-E72D297353CC}">
              <c16:uniqueId val="{00000004-D3F7-4C70-895A-BDB8F5476EA5}"/>
            </c:ext>
          </c:extLst>
        </c:ser>
        <c:dLbls>
          <c:showLegendKey val="0"/>
          <c:showVal val="0"/>
          <c:showCatName val="0"/>
          <c:showSerName val="0"/>
          <c:showPercent val="0"/>
          <c:showBubbleSize val="0"/>
        </c:dLbls>
        <c:gapWidth val="219"/>
        <c:overlap val="-27"/>
        <c:axId val="529621167"/>
        <c:axId val="529619727"/>
      </c:barChart>
      <c:catAx>
        <c:axId val="52962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19727"/>
        <c:crosses val="autoZero"/>
        <c:auto val="1"/>
        <c:lblAlgn val="ctr"/>
        <c:lblOffset val="100"/>
        <c:noMultiLvlLbl val="0"/>
      </c:catAx>
      <c:valAx>
        <c:axId val="52961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62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[recruitment_funnel_data.xlsx]Funnel Pivot Data!PivotTable4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Source of Hire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'Funnel Pivot Data'!$E$6</c:f>
              <c:strCache>
                <c:ptCount val="1"/>
                <c:pt idx="0">
                  <c:v>Total</c:v>
                </c:pt>
              </c:strCache>
            </c:strRef>
          </c:tx>
          <c:spPr>
            <a:solidFill>
              <a:schemeClr val="accent1"/>
            </a:solidFill>
            <a:ln>
              <a:noFill/>
            </a:ln>
            <a:effectLst/>
          </c:spPr>
          <c:invertIfNegative val="0"/>
          <c:cat>
            <c:strRef>
              <c:f>'Funnel Pivot Data'!$D$7:$D$12</c:f>
              <c:strCache>
                <c:ptCount val="5"/>
                <c:pt idx="0">
                  <c:v>Company Website</c:v>
                </c:pt>
                <c:pt idx="1">
                  <c:v>Job Portal</c:v>
                </c:pt>
                <c:pt idx="2">
                  <c:v>LinkedIn</c:v>
                </c:pt>
                <c:pt idx="3">
                  <c:v>Referral</c:v>
                </c:pt>
                <c:pt idx="4">
                  <c:v>(blank)</c:v>
                </c:pt>
              </c:strCache>
            </c:strRef>
          </c:cat>
          <c:val>
            <c:numRef>
              <c:f>'Funnel Pivot Data'!$E$7:$E$12</c:f>
              <c:numCache>
                <c:formatCode>General</c:formatCode>
                <c:ptCount val="5"/>
                <c:pt idx="0">
                  <c:v>3</c:v>
                </c:pt>
                <c:pt idx="1">
                  <c:v>4</c:v>
                </c:pt>
                <c:pt idx="2">
                  <c:v>5</c:v>
                </c:pt>
                <c:pt idx="3">
                  <c:v>1</c:v>
                </c:pt>
              </c:numCache>
            </c:numRef>
          </c:val>
          <c:extLst>
            <c:ext xmlns:c16="http://schemas.microsoft.com/office/drawing/2014/chart" uri="{C3380CC4-5D6E-409C-BE32-E72D297353CC}">
              <c16:uniqueId val="{00000000-40BA-49E4-A9C2-E9823A5D5782}"/>
            </c:ext>
          </c:extLst>
        </c:ser>
        <c:dLbls>
          <c:showLegendKey val="0"/>
          <c:showVal val="0"/>
          <c:showCatName val="0"/>
          <c:showSerName val="0"/>
          <c:showPercent val="0"/>
          <c:showBubbleSize val="0"/>
        </c:dLbls>
        <c:gapWidth val="182"/>
        <c:axId val="1177273071"/>
        <c:axId val="1177268751"/>
      </c:barChart>
      <c:catAx>
        <c:axId val="117727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68751"/>
        <c:crosses val="autoZero"/>
        <c:auto val="1"/>
        <c:lblAlgn val="ctr"/>
        <c:lblOffset val="100"/>
        <c:noMultiLvlLbl val="0"/>
      </c:catAx>
      <c:valAx>
        <c:axId val="1177268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27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[recruitment_funnel_data.xlsx]Funnel Pivot Data!PivotTable5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Recruiter Performance Chart</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'Funnel Pivot Data'!$I$6</c:f>
              <c:strCache>
                <c:ptCount val="1"/>
                <c:pt idx="0">
                  <c:v>Sum of Joined Flag</c:v>
                </c:pt>
              </c:strCache>
            </c:strRef>
          </c:tx>
          <c:spPr>
            <a:solidFill>
              <a:schemeClr val="accent1"/>
            </a:solidFill>
            <a:ln>
              <a:noFill/>
            </a:ln>
            <a:effectLst/>
          </c:spPr>
          <c:invertIfNegative val="0"/>
          <c:cat>
            <c:strRef>
              <c:f>'Funnel Pivot Data'!$H$7:$H$11</c:f>
              <c:strCache>
                <c:ptCount val="4"/>
                <c:pt idx="0">
                  <c:v>Recruiter A</c:v>
                </c:pt>
                <c:pt idx="1">
                  <c:v>Recruiter B</c:v>
                </c:pt>
                <c:pt idx="2">
                  <c:v>Recruiter C</c:v>
                </c:pt>
                <c:pt idx="3">
                  <c:v>(blank)</c:v>
                </c:pt>
              </c:strCache>
            </c:strRef>
          </c:cat>
          <c:val>
            <c:numRef>
              <c:f>'Funnel Pivot Data'!$I$7:$I$11</c:f>
              <c:numCache>
                <c:formatCode>General</c:formatCode>
                <c:ptCount val="4"/>
                <c:pt idx="0">
                  <c:v>4</c:v>
                </c:pt>
                <c:pt idx="1">
                  <c:v>5</c:v>
                </c:pt>
                <c:pt idx="2">
                  <c:v>4</c:v>
                </c:pt>
              </c:numCache>
            </c:numRef>
          </c:val>
          <c:extLst>
            <c:ext xmlns:c16="http://schemas.microsoft.com/office/drawing/2014/chart" uri="{C3380CC4-5D6E-409C-BE32-E72D297353CC}">
              <c16:uniqueId val="{00000000-B611-49EE-A49A-31EA1D30BA82}"/>
            </c:ext>
          </c:extLst>
        </c:ser>
        <c:ser>
          <c:idx val="1"/>
          <c:order val="1"/>
          <c:tx>
            <c:strRef>
              <c:f>'Funnel Pivot Data'!$J$6</c:f>
              <c:strCache>
                <c:ptCount val="1"/>
                <c:pt idx="0">
                  <c:v>Count of Candidate_ID</c:v>
                </c:pt>
              </c:strCache>
            </c:strRef>
          </c:tx>
          <c:spPr>
            <a:solidFill>
              <a:schemeClr val="accent2"/>
            </a:solidFill>
            <a:ln>
              <a:noFill/>
            </a:ln>
            <a:effectLst/>
          </c:spPr>
          <c:invertIfNegative val="0"/>
          <c:cat>
            <c:strRef>
              <c:f>'Funnel Pivot Data'!$H$7:$H$11</c:f>
              <c:strCache>
                <c:ptCount val="4"/>
                <c:pt idx="0">
                  <c:v>Recruiter A</c:v>
                </c:pt>
                <c:pt idx="1">
                  <c:v>Recruiter B</c:v>
                </c:pt>
                <c:pt idx="2">
                  <c:v>Recruiter C</c:v>
                </c:pt>
                <c:pt idx="3">
                  <c:v>(blank)</c:v>
                </c:pt>
              </c:strCache>
            </c:strRef>
          </c:cat>
          <c:val>
            <c:numRef>
              <c:f>'Funnel Pivot Data'!$J$7:$J$11</c:f>
              <c:numCache>
                <c:formatCode>General</c:formatCode>
                <c:ptCount val="4"/>
                <c:pt idx="0">
                  <c:v>20</c:v>
                </c:pt>
                <c:pt idx="1">
                  <c:v>28</c:v>
                </c:pt>
                <c:pt idx="2">
                  <c:v>32</c:v>
                </c:pt>
              </c:numCache>
            </c:numRef>
          </c:val>
          <c:extLst>
            <c:ext xmlns:c16="http://schemas.microsoft.com/office/drawing/2014/chart" uri="{C3380CC4-5D6E-409C-BE32-E72D297353CC}">
              <c16:uniqueId val="{00000001-B611-49EE-A49A-31EA1D30BA82}"/>
            </c:ext>
          </c:extLst>
        </c:ser>
        <c:dLbls>
          <c:showLegendKey val="0"/>
          <c:showVal val="0"/>
          <c:showCatName val="0"/>
          <c:showSerName val="0"/>
          <c:showPercent val="0"/>
          <c:showBubbleSize val="0"/>
        </c:dLbls>
        <c:gapWidth val="219"/>
        <c:overlap val="-27"/>
        <c:axId val="1210705423"/>
        <c:axId val="1210725583"/>
      </c:barChart>
      <c:catAx>
        <c:axId val="121070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25583"/>
        <c:crosses val="autoZero"/>
        <c:auto val="1"/>
        <c:lblAlgn val="ctr"/>
        <c:lblOffset val="100"/>
        <c:noMultiLvlLbl val="0"/>
      </c:catAx>
      <c:valAx>
        <c:axId val="121072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70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9525</xdr:colOff>
      <xdr:row>4</xdr:row>
      <xdr:rowOff>157162</xdr:rowOff>
    </xdr:from>
    <xdr:to>
      <xdr:col>2</xdr:col>
      <xdr:colOff>1390650</xdr:colOff>
      <xdr:row>17</xdr:row>
      <xdr:rowOff>161925</xdr:rowOff>
    </xdr:to>
    <xdr:graphicFrame macro="">
      <xdr:nvGraphicFramePr>
        <xdr:cNvPr id="3" name="Chart 2">
          <a:extLst>
            <a:ext uri="{FF2B5EF4-FFF2-40B4-BE49-F238E27FC236}">
              <a16:creationId xmlns:a16="http://schemas.microsoft.com/office/drawing/2014/main" id="{99A236A3-A537-F6A0-99ED-64DF4B6E7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1504951</xdr:colOff>
      <xdr:row>13</xdr:row>
      <xdr:rowOff>47624</xdr:rowOff>
    </xdr:from>
    <xdr:to>
      <xdr:col>5</xdr:col>
      <xdr:colOff>304801</xdr:colOff>
      <xdr:row>22</xdr:row>
      <xdr:rowOff>161925</xdr:rowOff>
    </xdr:to>
    <xdr:graphicFrame macro="">
      <xdr:nvGraphicFramePr>
        <xdr:cNvPr id="4" name="Chart 3">
          <a:extLst>
            <a:ext uri="{FF2B5EF4-FFF2-40B4-BE49-F238E27FC236}">
              <a16:creationId xmlns:a16="http://schemas.microsoft.com/office/drawing/2014/main" id="{9D863D9D-EE9F-5E07-D6A7-F17C492B90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12</xdr:row>
      <xdr:rowOff>4761</xdr:rowOff>
    </xdr:from>
    <xdr:to>
      <xdr:col>10</xdr:col>
      <xdr:colOff>38100</xdr:colOff>
      <xdr:row>24</xdr:row>
      <xdr:rowOff>104774</xdr:rowOff>
    </xdr:to>
    <xdr:graphicFrame macro="">
      <xdr:nvGraphicFramePr>
        <xdr:cNvPr id="5" name="Chart 4">
          <a:extLst>
            <a:ext uri="{FF2B5EF4-FFF2-40B4-BE49-F238E27FC236}">
              <a16:creationId xmlns:a16="http://schemas.microsoft.com/office/drawing/2014/main" id="{BF09979E-F13C-E494-B4B7-ABEA0924D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1</xdr:rowOff>
    </xdr:from>
    <xdr:to>
      <xdr:col>6</xdr:col>
      <xdr:colOff>95250</xdr:colOff>
      <xdr:row>9</xdr:row>
      <xdr:rowOff>76200</xdr:rowOff>
    </xdr:to>
    <xdr:graphicFrame macro="">
      <xdr:nvGraphicFramePr>
        <xdr:cNvPr id="2" name="Chart 1">
          <a:extLst>
            <a:ext uri="{FF2B5EF4-FFF2-40B4-BE49-F238E27FC236}">
              <a16:creationId xmlns:a16="http://schemas.microsoft.com/office/drawing/2014/main" id="{6FD1CC11-B74F-4A54-8CBA-D375885FE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285750</xdr:colOff>
      <xdr:row>0</xdr:row>
      <xdr:rowOff>0</xdr:rowOff>
    </xdr:from>
    <xdr:to>
      <xdr:col>12</xdr:col>
      <xdr:colOff>133350</xdr:colOff>
      <xdr:row>9</xdr:row>
      <xdr:rowOff>95250</xdr:rowOff>
    </xdr:to>
    <xdr:graphicFrame macro="">
      <xdr:nvGraphicFramePr>
        <xdr:cNvPr id="3" name="Chart 2">
          <a:extLst>
            <a:ext uri="{FF2B5EF4-FFF2-40B4-BE49-F238E27FC236}">
              <a16:creationId xmlns:a16="http://schemas.microsoft.com/office/drawing/2014/main" id="{5D6EE12C-C2D9-4CF3-ACF4-C239E6A4B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323849</xdr:colOff>
      <xdr:row>0</xdr:row>
      <xdr:rowOff>0</xdr:rowOff>
    </xdr:from>
    <xdr:to>
      <xdr:col>18</xdr:col>
      <xdr:colOff>581024</xdr:colOff>
      <xdr:row>9</xdr:row>
      <xdr:rowOff>85725</xdr:rowOff>
    </xdr:to>
    <xdr:graphicFrame macro="">
      <xdr:nvGraphicFramePr>
        <xdr:cNvPr id="4" name="Chart 3">
          <a:extLst>
            <a:ext uri="{FF2B5EF4-FFF2-40B4-BE49-F238E27FC236}">
              <a16:creationId xmlns:a16="http://schemas.microsoft.com/office/drawing/2014/main" id="{A8C5E335-65CC-42F2-ACD5-DE8D4604D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581025</xdr:colOff>
      <xdr:row>10</xdr:row>
      <xdr:rowOff>123826</xdr:rowOff>
    </xdr:from>
    <xdr:to>
      <xdr:col>13</xdr:col>
      <xdr:colOff>581025</xdr:colOff>
      <xdr:row>19</xdr:row>
      <xdr:rowOff>161926</xdr:rowOff>
    </xdr:to>
    <mc:AlternateContent xmlns:mc="http://schemas.openxmlformats.org/markup-compatibility/2006">
      <mc:Choice xmlns:a14="http://schemas.microsoft.com/office/drawing/2010/main" Requires="a14">
        <xdr:graphicFrame macro="">
          <xdr:nvGraphicFramePr>
            <xdr:cNvPr id="5" name="Job_Role">
              <a:extLst>
                <a:ext uri="{FF2B5EF4-FFF2-40B4-BE49-F238E27FC236}">
                  <a16:creationId xmlns:a16="http://schemas.microsoft.com/office/drawing/2014/main" id="{B907DD69-3CF0-0491-E014-36E518D174CF}"/>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6677025" y="2028826"/>
              <a:ext cx="18288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200025</xdr:colOff>
      <xdr:row>10</xdr:row>
      <xdr:rowOff>142876</xdr:rowOff>
    </xdr:from>
    <xdr:to>
      <xdr:col>7</xdr:col>
      <xdr:colOff>200025</xdr:colOff>
      <xdr:row>19</xdr:row>
      <xdr:rowOff>180975</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4FAD7099-215B-B5D6-462B-89F3420844C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638425" y="2047876"/>
              <a:ext cx="1828800" cy="1752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400050</xdr:colOff>
      <xdr:row>10</xdr:row>
      <xdr:rowOff>142876</xdr:rowOff>
    </xdr:from>
    <xdr:to>
      <xdr:col>10</xdr:col>
      <xdr:colOff>400050</xdr:colOff>
      <xdr:row>19</xdr:row>
      <xdr:rowOff>161926</xdr:rowOff>
    </xdr:to>
    <mc:AlternateContent xmlns:mc="http://schemas.openxmlformats.org/markup-compatibility/2006">
      <mc:Choice xmlns:a14="http://schemas.microsoft.com/office/drawing/2010/main" Requires="a14">
        <xdr:graphicFrame macro="">
          <xdr:nvGraphicFramePr>
            <xdr:cNvPr id="7" name="Recruiter">
              <a:extLst>
                <a:ext uri="{FF2B5EF4-FFF2-40B4-BE49-F238E27FC236}">
                  <a16:creationId xmlns:a16="http://schemas.microsoft.com/office/drawing/2014/main" id="{A9417BD3-0868-327F-A042-F72DACB4EFF6}"/>
                </a:ext>
              </a:extLst>
            </xdr:cNvPr>
            <xdr:cNvGraphicFramePr/>
          </xdr:nvGraphicFramePr>
          <xdr:xfrm>
            <a:off x="0" y="0"/>
            <a:ext cx="0" cy="0"/>
          </xdr:xfrm>
          <a:graphic>
            <a:graphicData uri="http://schemas.microsoft.com/office/drawing/2010/slicer">
              <sle:slicer xmlns:sle="http://schemas.microsoft.com/office/drawing/2010/slicer" name="Recruiter"/>
            </a:graphicData>
          </a:graphic>
        </xdr:graphicFrame>
      </mc:Choice>
      <mc:Fallback>
        <xdr:sp macro="" textlink="">
          <xdr:nvSpPr>
            <xdr:cNvPr id="0" name=""/>
            <xdr:cNvSpPr>
              <a:spLocks noTextEdit="1"/>
            </xdr:cNvSpPr>
          </xdr:nvSpPr>
          <xdr:spPr>
            <a:xfrm>
              <a:off x="4667250" y="2047876"/>
              <a:ext cx="1828800" cy="173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39.001951157406" createdVersion="8" refreshedVersion="8" minRefreshableVersion="3" recordCount="81" xr:uid="{BDE74F2D-E998-4DF4-A408-98505556710B}">
  <cacheSource type="worksheet">
    <worksheetSource ref="A1:P1048576" sheet="Raw_Data"/>
  </cacheSource>
  <cacheFields count="16">
    <cacheField name="Candidate_ID" numFmtId="0">
      <sharedItems containsBlank="1" count="81">
        <s v="CAND001"/>
        <s v="CAND002"/>
        <s v="CAND003"/>
        <s v="CAND004"/>
        <s v="CAND005"/>
        <s v="CAND006"/>
        <s v="CAND007"/>
        <s v="CAND008"/>
        <s v="CAND009"/>
        <s v="CAND010"/>
        <s v="CAND011"/>
        <s v="CAND012"/>
        <s v="CAND013"/>
        <s v="CAND014"/>
        <s v="CAND015"/>
        <s v="CAND016"/>
        <s v="CAND017"/>
        <s v="CAND018"/>
        <s v="CAND019"/>
        <s v="CAND020"/>
        <s v="CAND021"/>
        <s v="CAND022"/>
        <s v="CAND023"/>
        <s v="CAND024"/>
        <s v="CAND025"/>
        <s v="CAND026"/>
        <s v="CAND027"/>
        <s v="CAND028"/>
        <s v="CAND029"/>
        <s v="CAND030"/>
        <s v="CAND031"/>
        <s v="CAND032"/>
        <s v="CAND033"/>
        <s v="CAND034"/>
        <s v="CAND035"/>
        <s v="CAND036"/>
        <s v="CAND037"/>
        <s v="CAND038"/>
        <s v="CAND039"/>
        <s v="CAND040"/>
        <s v="CAND041"/>
        <s v="CAND042"/>
        <s v="CAND043"/>
        <s v="CAND044"/>
        <s v="CAND045"/>
        <s v="CAND046"/>
        <s v="CAND047"/>
        <s v="CAND048"/>
        <s v="CAND049"/>
        <s v="CAND050"/>
        <s v="CAND051"/>
        <s v="CAND052"/>
        <s v="CAND053"/>
        <s v="CAND054"/>
        <s v="CAND055"/>
        <s v="CAND056"/>
        <s v="CAND057"/>
        <s v="CAND058"/>
        <s v="CAND059"/>
        <s v="CAND060"/>
        <s v="CAND061"/>
        <s v="CAND062"/>
        <s v="CAND063"/>
        <s v="CAND064"/>
        <s v="CAND065"/>
        <s v="CAND066"/>
        <s v="CAND067"/>
        <s v="CAND068"/>
        <s v="CAND069"/>
        <s v="CAND070"/>
        <s v="CAND071"/>
        <s v="CAND072"/>
        <s v="CAND073"/>
        <s v="CAND074"/>
        <s v="CAND075"/>
        <s v="CAND076"/>
        <s v="CAND077"/>
        <s v="CAND078"/>
        <s v="CAND079"/>
        <s v="CAND080"/>
        <m/>
      </sharedItems>
    </cacheField>
    <cacheField name="Job_Role" numFmtId="0">
      <sharedItems containsBlank="1" count="5">
        <s v="Data Analyst"/>
        <s v="Sales Executive"/>
        <s v="HR Executive"/>
        <s v="Software Engineer"/>
        <m/>
      </sharedItems>
    </cacheField>
    <cacheField name="Department" numFmtId="0">
      <sharedItems containsBlank="1" count="5">
        <s v="Analytics"/>
        <s v="Sales"/>
        <s v="HR"/>
        <s v="Engineering"/>
        <m/>
      </sharedItems>
    </cacheField>
    <cacheField name="Source_of_Hire" numFmtId="0">
      <sharedItems containsBlank="1" count="5">
        <s v="LinkedIn"/>
        <s v="Company Website"/>
        <s v="Referral"/>
        <s v="Job Portal"/>
        <m/>
      </sharedItems>
    </cacheField>
    <cacheField name="Recruiter" numFmtId="0">
      <sharedItems containsBlank="1" count="4">
        <s v="Recruiter C"/>
        <s v="Recruiter A"/>
        <s v="Recruiter B"/>
        <m/>
      </sharedItems>
    </cacheField>
    <cacheField name="Application_Date" numFmtId="0">
      <sharedItems containsNonDate="0" containsDate="1" containsString="0" containsBlank="1" minDate="2024-01-02T00:00:00" maxDate="2024-06-30T00:00:00"/>
    </cacheField>
    <cacheField name="Shortlisted_Date" numFmtId="0">
      <sharedItems containsNonDate="0" containsDate="1" containsString="0" containsBlank="1" minDate="2024-01-07T00:00:00" maxDate="2024-07-02T00:00:00"/>
    </cacheField>
    <cacheField name="Interview_Date" numFmtId="0">
      <sharedItems containsNonDate="0" containsDate="1" containsString="0" containsBlank="1" minDate="2024-01-10T00:00:00" maxDate="2024-06-26T00:00:00"/>
    </cacheField>
    <cacheField name="Offer_Date" numFmtId="0">
      <sharedItems containsNonDate="0" containsDate="1" containsString="0" containsBlank="1" minDate="2024-01-23T00:00:00" maxDate="2024-06-28T00:00:00"/>
    </cacheField>
    <cacheField name="Joining_Date" numFmtId="0">
      <sharedItems containsNonDate="0" containsDate="1" containsString="0" containsBlank="1" minDate="2024-02-17T00:00:00" maxDate="2024-07-20T00:00:00"/>
    </cacheField>
    <cacheField name="Offer_Status" numFmtId="0">
      <sharedItems containsBlank="1"/>
    </cacheField>
    <cacheField name="Hiring_Status" numFmtId="0">
      <sharedItems containsBlank="1"/>
    </cacheField>
    <cacheField name="Shorlisted Flag" numFmtId="0">
      <sharedItems containsString="0" containsBlank="1" containsNumber="1" containsInteger="1" minValue="0" maxValue="1"/>
    </cacheField>
    <cacheField name="Interviewed Flag" numFmtId="0">
      <sharedItems containsString="0" containsBlank="1" containsNumber="1" containsInteger="1" minValue="0" maxValue="1"/>
    </cacheField>
    <cacheField name="Offered Flag" numFmtId="0">
      <sharedItems containsString="0" containsBlank="1" containsNumber="1" containsInteger="1" minValue="0" maxValue="1"/>
    </cacheField>
    <cacheField name="Joined Flag" numFmtId="0">
      <sharedItems containsString="0" containsBlank="1" containsNumber="1" containsInteger="1" minValue="0" maxValue="1"/>
    </cacheField>
  </cacheFields>
  <extLst>
    <ext xmlns:x14="http://schemas.microsoft.com/office/spreadsheetml/2009/9/main" uri="{725AE2AE-9491-48be-B2B4-4EB974FC3084}">
      <x14:pivotCacheDefinition pivotCacheId="12323787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
  <r>
    <x v="0"/>
    <x v="0"/>
    <x v="0"/>
    <x v="0"/>
    <x v="0"/>
    <d v="2024-03-11T00:00:00"/>
    <d v="2024-03-18T00:00:00"/>
    <d v="2024-03-25T00:00:00"/>
    <d v="2024-03-30T00:00:00"/>
    <d v="2024-04-08T00:00:00"/>
    <s v="Accepted"/>
    <s v="Joined"/>
    <n v="1"/>
    <n v="1"/>
    <n v="1"/>
    <n v="1"/>
  </r>
  <r>
    <x v="1"/>
    <x v="1"/>
    <x v="1"/>
    <x v="0"/>
    <x v="1"/>
    <d v="2024-01-24T00:00:00"/>
    <d v="2024-01-31T00:00:00"/>
    <d v="2024-02-07T00:00:00"/>
    <d v="2024-02-12T00:00:00"/>
    <d v="2024-03-03T00:00:00"/>
    <s v="Accepted"/>
    <s v="Joined"/>
    <n v="1"/>
    <n v="1"/>
    <n v="1"/>
    <n v="1"/>
  </r>
  <r>
    <x v="2"/>
    <x v="2"/>
    <x v="2"/>
    <x v="1"/>
    <x v="0"/>
    <d v="2024-03-12T00:00:00"/>
    <d v="2024-03-16T00:00:00"/>
    <d v="2024-03-20T00:00:00"/>
    <m/>
    <m/>
    <m/>
    <s v="Dropped"/>
    <n v="1"/>
    <n v="1"/>
    <n v="0"/>
    <n v="0"/>
  </r>
  <r>
    <x v="3"/>
    <x v="2"/>
    <x v="2"/>
    <x v="2"/>
    <x v="2"/>
    <d v="2024-01-27T00:00:00"/>
    <d v="2024-01-31T00:00:00"/>
    <d v="2024-02-06T00:00:00"/>
    <d v="2024-02-09T00:00:00"/>
    <m/>
    <s v="Declined"/>
    <s v="Dropped"/>
    <n v="1"/>
    <n v="1"/>
    <n v="1"/>
    <n v="0"/>
  </r>
  <r>
    <x v="4"/>
    <x v="0"/>
    <x v="0"/>
    <x v="1"/>
    <x v="0"/>
    <d v="2024-02-01T00:00:00"/>
    <d v="2024-02-08T00:00:00"/>
    <d v="2024-02-14T00:00:00"/>
    <m/>
    <m/>
    <m/>
    <s v="Dropped"/>
    <n v="1"/>
    <n v="1"/>
    <n v="0"/>
    <n v="0"/>
  </r>
  <r>
    <x v="5"/>
    <x v="3"/>
    <x v="3"/>
    <x v="2"/>
    <x v="0"/>
    <d v="2024-01-18T00:00:00"/>
    <d v="2024-01-21T00:00:00"/>
    <m/>
    <m/>
    <m/>
    <m/>
    <s v="Dropped"/>
    <n v="1"/>
    <n v="0"/>
    <n v="0"/>
    <n v="0"/>
  </r>
  <r>
    <x v="6"/>
    <x v="3"/>
    <x v="3"/>
    <x v="0"/>
    <x v="1"/>
    <d v="2024-01-26T00:00:00"/>
    <d v="2024-02-02T00:00:00"/>
    <d v="2024-02-06T00:00:00"/>
    <m/>
    <m/>
    <m/>
    <s v="Dropped"/>
    <n v="1"/>
    <n v="1"/>
    <n v="0"/>
    <n v="0"/>
  </r>
  <r>
    <x v="7"/>
    <x v="2"/>
    <x v="2"/>
    <x v="3"/>
    <x v="2"/>
    <d v="2024-02-23T00:00:00"/>
    <m/>
    <m/>
    <m/>
    <m/>
    <m/>
    <s v="Dropped"/>
    <n v="0"/>
    <n v="0"/>
    <n v="0"/>
    <n v="0"/>
  </r>
  <r>
    <x v="8"/>
    <x v="3"/>
    <x v="3"/>
    <x v="0"/>
    <x v="0"/>
    <d v="2024-06-11T00:00:00"/>
    <d v="2024-06-18T00:00:00"/>
    <m/>
    <m/>
    <m/>
    <m/>
    <s v="Dropped"/>
    <n v="1"/>
    <n v="0"/>
    <n v="0"/>
    <n v="0"/>
  </r>
  <r>
    <x v="9"/>
    <x v="2"/>
    <x v="2"/>
    <x v="2"/>
    <x v="2"/>
    <d v="2024-04-07T00:00:00"/>
    <d v="2024-04-14T00:00:00"/>
    <m/>
    <m/>
    <m/>
    <m/>
    <s v="Dropped"/>
    <n v="1"/>
    <n v="0"/>
    <n v="0"/>
    <n v="0"/>
  </r>
  <r>
    <x v="10"/>
    <x v="2"/>
    <x v="2"/>
    <x v="3"/>
    <x v="1"/>
    <d v="2024-02-28T00:00:00"/>
    <d v="2024-03-03T00:00:00"/>
    <d v="2024-03-05T00:00:00"/>
    <m/>
    <m/>
    <m/>
    <s v="Dropped"/>
    <n v="1"/>
    <n v="1"/>
    <n v="0"/>
    <n v="0"/>
  </r>
  <r>
    <x v="11"/>
    <x v="2"/>
    <x v="2"/>
    <x v="3"/>
    <x v="1"/>
    <d v="2024-06-16T00:00:00"/>
    <d v="2024-06-19T00:00:00"/>
    <d v="2024-06-23T00:00:00"/>
    <m/>
    <m/>
    <m/>
    <s v="Dropped"/>
    <n v="1"/>
    <n v="1"/>
    <n v="0"/>
    <n v="0"/>
  </r>
  <r>
    <x v="12"/>
    <x v="2"/>
    <x v="2"/>
    <x v="2"/>
    <x v="0"/>
    <d v="2024-05-23T00:00:00"/>
    <m/>
    <m/>
    <m/>
    <m/>
    <m/>
    <s v="Dropped"/>
    <n v="0"/>
    <n v="0"/>
    <n v="0"/>
    <n v="0"/>
  </r>
  <r>
    <x v="13"/>
    <x v="3"/>
    <x v="3"/>
    <x v="1"/>
    <x v="0"/>
    <d v="2024-04-12T00:00:00"/>
    <d v="2024-04-14T00:00:00"/>
    <d v="2024-04-16T00:00:00"/>
    <d v="2024-04-17T00:00:00"/>
    <m/>
    <s v="Declined"/>
    <s v="Dropped"/>
    <n v="1"/>
    <n v="1"/>
    <n v="1"/>
    <n v="0"/>
  </r>
  <r>
    <x v="14"/>
    <x v="2"/>
    <x v="2"/>
    <x v="2"/>
    <x v="0"/>
    <d v="2024-04-18T00:00:00"/>
    <m/>
    <m/>
    <m/>
    <m/>
    <m/>
    <s v="Dropped"/>
    <n v="0"/>
    <n v="0"/>
    <n v="0"/>
    <n v="0"/>
  </r>
  <r>
    <x v="15"/>
    <x v="0"/>
    <x v="0"/>
    <x v="1"/>
    <x v="2"/>
    <d v="2024-06-01T00:00:00"/>
    <d v="2024-06-05T00:00:00"/>
    <m/>
    <m/>
    <m/>
    <m/>
    <s v="Dropped"/>
    <n v="1"/>
    <n v="0"/>
    <n v="0"/>
    <n v="0"/>
  </r>
  <r>
    <x v="16"/>
    <x v="0"/>
    <x v="0"/>
    <x v="0"/>
    <x v="0"/>
    <d v="2024-05-17T00:00:00"/>
    <d v="2024-05-21T00:00:00"/>
    <m/>
    <m/>
    <m/>
    <m/>
    <s v="Dropped"/>
    <n v="1"/>
    <n v="0"/>
    <n v="0"/>
    <n v="0"/>
  </r>
  <r>
    <x v="17"/>
    <x v="0"/>
    <x v="0"/>
    <x v="3"/>
    <x v="2"/>
    <d v="2024-02-10T00:00:00"/>
    <d v="2024-02-16T00:00:00"/>
    <d v="2024-02-19T00:00:00"/>
    <m/>
    <m/>
    <m/>
    <s v="Dropped"/>
    <n v="1"/>
    <n v="1"/>
    <n v="0"/>
    <n v="0"/>
  </r>
  <r>
    <x v="18"/>
    <x v="0"/>
    <x v="0"/>
    <x v="3"/>
    <x v="0"/>
    <d v="2024-05-09T00:00:00"/>
    <m/>
    <m/>
    <m/>
    <m/>
    <m/>
    <s v="Dropped"/>
    <n v="0"/>
    <n v="0"/>
    <n v="0"/>
    <n v="0"/>
  </r>
  <r>
    <x v="19"/>
    <x v="2"/>
    <x v="2"/>
    <x v="2"/>
    <x v="2"/>
    <d v="2024-02-11T00:00:00"/>
    <m/>
    <m/>
    <m/>
    <m/>
    <m/>
    <s v="Dropped"/>
    <n v="0"/>
    <n v="0"/>
    <n v="0"/>
    <n v="0"/>
  </r>
  <r>
    <x v="20"/>
    <x v="0"/>
    <x v="0"/>
    <x v="3"/>
    <x v="2"/>
    <d v="2024-01-05T00:00:00"/>
    <d v="2024-01-08T00:00:00"/>
    <d v="2024-01-10T00:00:00"/>
    <m/>
    <m/>
    <m/>
    <s v="Dropped"/>
    <n v="1"/>
    <n v="1"/>
    <n v="0"/>
    <n v="0"/>
  </r>
  <r>
    <x v="21"/>
    <x v="2"/>
    <x v="2"/>
    <x v="0"/>
    <x v="1"/>
    <d v="2024-05-04T00:00:00"/>
    <d v="2024-05-07T00:00:00"/>
    <m/>
    <m/>
    <m/>
    <m/>
    <s v="Dropped"/>
    <n v="1"/>
    <n v="0"/>
    <n v="0"/>
    <n v="0"/>
  </r>
  <r>
    <x v="22"/>
    <x v="2"/>
    <x v="2"/>
    <x v="1"/>
    <x v="0"/>
    <d v="2024-02-12T00:00:00"/>
    <d v="2024-02-18T00:00:00"/>
    <m/>
    <m/>
    <m/>
    <m/>
    <s v="Dropped"/>
    <n v="1"/>
    <n v="0"/>
    <n v="0"/>
    <n v="0"/>
  </r>
  <r>
    <x v="23"/>
    <x v="1"/>
    <x v="1"/>
    <x v="2"/>
    <x v="0"/>
    <d v="2024-06-25T00:00:00"/>
    <d v="2024-06-29T00:00:00"/>
    <m/>
    <m/>
    <m/>
    <m/>
    <s v="Dropped"/>
    <n v="1"/>
    <n v="0"/>
    <n v="0"/>
    <n v="0"/>
  </r>
  <r>
    <x v="24"/>
    <x v="1"/>
    <x v="1"/>
    <x v="3"/>
    <x v="2"/>
    <d v="2024-05-12T00:00:00"/>
    <d v="2024-05-14T00:00:00"/>
    <d v="2024-05-18T00:00:00"/>
    <d v="2024-05-19T00:00:00"/>
    <d v="2024-06-13T00:00:00"/>
    <s v="Accepted"/>
    <s v="Joined"/>
    <n v="1"/>
    <n v="1"/>
    <n v="1"/>
    <n v="1"/>
  </r>
  <r>
    <x v="25"/>
    <x v="2"/>
    <x v="2"/>
    <x v="2"/>
    <x v="1"/>
    <d v="2024-01-19T00:00:00"/>
    <m/>
    <m/>
    <m/>
    <m/>
    <m/>
    <s v="Dropped"/>
    <n v="0"/>
    <n v="0"/>
    <n v="0"/>
    <n v="0"/>
  </r>
  <r>
    <x v="26"/>
    <x v="0"/>
    <x v="0"/>
    <x v="2"/>
    <x v="1"/>
    <d v="2024-01-09T00:00:00"/>
    <d v="2024-01-16T00:00:00"/>
    <d v="2024-01-21T00:00:00"/>
    <d v="2024-01-23T00:00:00"/>
    <m/>
    <s v="Declined"/>
    <s v="Dropped"/>
    <n v="1"/>
    <n v="1"/>
    <n v="1"/>
    <n v="0"/>
  </r>
  <r>
    <x v="27"/>
    <x v="2"/>
    <x v="2"/>
    <x v="1"/>
    <x v="1"/>
    <d v="2024-05-01T00:00:00"/>
    <d v="2024-05-08T00:00:00"/>
    <d v="2024-05-13T00:00:00"/>
    <d v="2024-05-16T00:00:00"/>
    <d v="2024-06-05T00:00:00"/>
    <s v="Accepted"/>
    <s v="Joined"/>
    <n v="1"/>
    <n v="1"/>
    <n v="1"/>
    <n v="1"/>
  </r>
  <r>
    <x v="28"/>
    <x v="1"/>
    <x v="1"/>
    <x v="1"/>
    <x v="0"/>
    <d v="2024-01-14T00:00:00"/>
    <m/>
    <m/>
    <m/>
    <m/>
    <m/>
    <s v="Dropped"/>
    <n v="0"/>
    <n v="0"/>
    <n v="0"/>
    <n v="0"/>
  </r>
  <r>
    <x v="29"/>
    <x v="0"/>
    <x v="0"/>
    <x v="0"/>
    <x v="2"/>
    <d v="2024-03-27T00:00:00"/>
    <d v="2024-04-02T00:00:00"/>
    <d v="2024-04-07T00:00:00"/>
    <d v="2024-04-09T00:00:00"/>
    <d v="2024-04-29T00:00:00"/>
    <s v="Accepted"/>
    <s v="Joined"/>
    <n v="1"/>
    <n v="1"/>
    <n v="1"/>
    <n v="1"/>
  </r>
  <r>
    <x v="30"/>
    <x v="2"/>
    <x v="2"/>
    <x v="3"/>
    <x v="2"/>
    <d v="2024-03-04T00:00:00"/>
    <d v="2024-03-11T00:00:00"/>
    <d v="2024-03-17T00:00:00"/>
    <d v="2024-03-18T00:00:00"/>
    <d v="2024-03-27T00:00:00"/>
    <s v="Accepted"/>
    <s v="Joined"/>
    <n v="1"/>
    <n v="1"/>
    <n v="1"/>
    <n v="1"/>
  </r>
  <r>
    <x v="31"/>
    <x v="2"/>
    <x v="2"/>
    <x v="2"/>
    <x v="2"/>
    <d v="2024-05-04T00:00:00"/>
    <d v="2024-05-06T00:00:00"/>
    <d v="2024-05-09T00:00:00"/>
    <m/>
    <m/>
    <m/>
    <s v="Dropped"/>
    <n v="1"/>
    <n v="1"/>
    <n v="0"/>
    <n v="0"/>
  </r>
  <r>
    <x v="32"/>
    <x v="1"/>
    <x v="1"/>
    <x v="0"/>
    <x v="2"/>
    <d v="2024-03-08T00:00:00"/>
    <d v="2024-03-15T00:00:00"/>
    <d v="2024-03-22T00:00:00"/>
    <m/>
    <m/>
    <m/>
    <s v="Dropped"/>
    <n v="1"/>
    <n v="1"/>
    <n v="0"/>
    <n v="0"/>
  </r>
  <r>
    <x v="33"/>
    <x v="1"/>
    <x v="1"/>
    <x v="2"/>
    <x v="1"/>
    <d v="2024-03-16T00:00:00"/>
    <d v="2024-03-18T00:00:00"/>
    <d v="2024-03-20T00:00:00"/>
    <d v="2024-03-25T00:00:00"/>
    <m/>
    <s v="Declined"/>
    <s v="Dropped"/>
    <n v="1"/>
    <n v="1"/>
    <n v="1"/>
    <n v="0"/>
  </r>
  <r>
    <x v="34"/>
    <x v="1"/>
    <x v="1"/>
    <x v="2"/>
    <x v="1"/>
    <d v="2024-05-10T00:00:00"/>
    <d v="2024-05-17T00:00:00"/>
    <d v="2024-05-20T00:00:00"/>
    <d v="2024-05-24T00:00:00"/>
    <d v="2024-06-03T00:00:00"/>
    <s v="Accepted"/>
    <s v="Joined"/>
    <n v="1"/>
    <n v="1"/>
    <n v="1"/>
    <n v="1"/>
  </r>
  <r>
    <x v="35"/>
    <x v="2"/>
    <x v="2"/>
    <x v="0"/>
    <x v="0"/>
    <d v="2024-01-21T00:00:00"/>
    <d v="2024-01-27T00:00:00"/>
    <m/>
    <m/>
    <m/>
    <m/>
    <s v="Dropped"/>
    <n v="1"/>
    <n v="0"/>
    <n v="0"/>
    <n v="0"/>
  </r>
  <r>
    <x v="36"/>
    <x v="3"/>
    <x v="3"/>
    <x v="3"/>
    <x v="1"/>
    <d v="2024-06-20T00:00:00"/>
    <m/>
    <m/>
    <m/>
    <m/>
    <m/>
    <s v="Dropped"/>
    <n v="0"/>
    <n v="0"/>
    <n v="0"/>
    <n v="0"/>
  </r>
  <r>
    <x v="37"/>
    <x v="3"/>
    <x v="3"/>
    <x v="2"/>
    <x v="2"/>
    <d v="2024-04-11T00:00:00"/>
    <d v="2024-04-18T00:00:00"/>
    <m/>
    <m/>
    <m/>
    <m/>
    <s v="Dropped"/>
    <n v="1"/>
    <n v="0"/>
    <n v="0"/>
    <n v="0"/>
  </r>
  <r>
    <x v="38"/>
    <x v="3"/>
    <x v="3"/>
    <x v="1"/>
    <x v="2"/>
    <d v="2024-01-19T00:00:00"/>
    <d v="2024-01-25T00:00:00"/>
    <d v="2024-01-28T00:00:00"/>
    <d v="2024-02-02T00:00:00"/>
    <d v="2024-02-17T00:00:00"/>
    <s v="Accepted"/>
    <s v="Joined"/>
    <n v="1"/>
    <n v="1"/>
    <n v="1"/>
    <n v="1"/>
  </r>
  <r>
    <x v="39"/>
    <x v="2"/>
    <x v="2"/>
    <x v="3"/>
    <x v="1"/>
    <d v="2024-03-03T00:00:00"/>
    <d v="2024-03-09T00:00:00"/>
    <d v="2024-03-16T00:00:00"/>
    <d v="2024-03-19T00:00:00"/>
    <m/>
    <s v="Declined"/>
    <s v="Dropped"/>
    <n v="1"/>
    <n v="1"/>
    <n v="1"/>
    <n v="0"/>
  </r>
  <r>
    <x v="40"/>
    <x v="0"/>
    <x v="0"/>
    <x v="3"/>
    <x v="0"/>
    <d v="2024-01-27T00:00:00"/>
    <d v="2024-02-03T00:00:00"/>
    <d v="2024-02-09T00:00:00"/>
    <d v="2024-02-11T00:00:00"/>
    <d v="2024-02-26T00:00:00"/>
    <s v="Accepted"/>
    <s v="Joined"/>
    <n v="1"/>
    <n v="1"/>
    <n v="1"/>
    <n v="1"/>
  </r>
  <r>
    <x v="41"/>
    <x v="3"/>
    <x v="3"/>
    <x v="2"/>
    <x v="0"/>
    <d v="2024-03-28T00:00:00"/>
    <d v="2024-04-04T00:00:00"/>
    <m/>
    <m/>
    <m/>
    <m/>
    <s v="Dropped"/>
    <n v="1"/>
    <n v="0"/>
    <n v="0"/>
    <n v="0"/>
  </r>
  <r>
    <x v="42"/>
    <x v="3"/>
    <x v="3"/>
    <x v="1"/>
    <x v="2"/>
    <d v="2024-01-14T00:00:00"/>
    <d v="2024-01-19T00:00:00"/>
    <m/>
    <m/>
    <m/>
    <m/>
    <s v="Dropped"/>
    <n v="1"/>
    <n v="0"/>
    <n v="0"/>
    <n v="0"/>
  </r>
  <r>
    <x v="43"/>
    <x v="3"/>
    <x v="3"/>
    <x v="0"/>
    <x v="1"/>
    <d v="2024-03-26T00:00:00"/>
    <d v="2024-03-30T00:00:00"/>
    <m/>
    <m/>
    <m/>
    <m/>
    <s v="Dropped"/>
    <n v="1"/>
    <n v="0"/>
    <n v="0"/>
    <n v="0"/>
  </r>
  <r>
    <x v="44"/>
    <x v="2"/>
    <x v="2"/>
    <x v="1"/>
    <x v="0"/>
    <d v="2024-06-29T00:00:00"/>
    <d v="2024-07-01T00:00:00"/>
    <m/>
    <m/>
    <m/>
    <m/>
    <s v="Dropped"/>
    <n v="1"/>
    <n v="0"/>
    <n v="0"/>
    <n v="0"/>
  </r>
  <r>
    <x v="45"/>
    <x v="0"/>
    <x v="0"/>
    <x v="0"/>
    <x v="0"/>
    <d v="2024-02-08T00:00:00"/>
    <m/>
    <m/>
    <m/>
    <m/>
    <m/>
    <s v="Dropped"/>
    <n v="0"/>
    <n v="0"/>
    <n v="0"/>
    <n v="0"/>
  </r>
  <r>
    <x v="46"/>
    <x v="0"/>
    <x v="0"/>
    <x v="3"/>
    <x v="0"/>
    <d v="2024-05-21T00:00:00"/>
    <d v="2024-05-25T00:00:00"/>
    <d v="2024-05-29T00:00:00"/>
    <d v="2024-05-30T00:00:00"/>
    <d v="2024-06-17T00:00:00"/>
    <s v="Accepted"/>
    <s v="Joined"/>
    <n v="1"/>
    <n v="1"/>
    <n v="1"/>
    <n v="1"/>
  </r>
  <r>
    <x v="47"/>
    <x v="2"/>
    <x v="2"/>
    <x v="2"/>
    <x v="0"/>
    <d v="2024-01-27T00:00:00"/>
    <d v="2024-02-01T00:00:00"/>
    <m/>
    <m/>
    <m/>
    <m/>
    <s v="Dropped"/>
    <n v="1"/>
    <n v="0"/>
    <n v="0"/>
    <n v="0"/>
  </r>
  <r>
    <x v="48"/>
    <x v="2"/>
    <x v="2"/>
    <x v="2"/>
    <x v="1"/>
    <d v="2024-02-15T00:00:00"/>
    <d v="2024-02-20T00:00:00"/>
    <d v="2024-02-27T00:00:00"/>
    <d v="2024-02-29T00:00:00"/>
    <m/>
    <s v="Declined"/>
    <s v="Dropped"/>
    <n v="1"/>
    <n v="1"/>
    <n v="1"/>
    <n v="0"/>
  </r>
  <r>
    <x v="49"/>
    <x v="3"/>
    <x v="3"/>
    <x v="2"/>
    <x v="0"/>
    <d v="2024-01-28T00:00:00"/>
    <d v="2024-01-31T00:00:00"/>
    <d v="2024-02-03T00:00:00"/>
    <m/>
    <m/>
    <m/>
    <s v="Dropped"/>
    <n v="1"/>
    <n v="1"/>
    <n v="0"/>
    <n v="0"/>
  </r>
  <r>
    <x v="50"/>
    <x v="1"/>
    <x v="1"/>
    <x v="3"/>
    <x v="2"/>
    <d v="2024-02-28T00:00:00"/>
    <d v="2024-03-03T00:00:00"/>
    <d v="2024-03-07T00:00:00"/>
    <d v="2024-03-08T00:00:00"/>
    <m/>
    <s v="Declined"/>
    <s v="Dropped"/>
    <n v="1"/>
    <n v="1"/>
    <n v="1"/>
    <n v="0"/>
  </r>
  <r>
    <x v="51"/>
    <x v="3"/>
    <x v="3"/>
    <x v="3"/>
    <x v="0"/>
    <d v="2024-05-10T00:00:00"/>
    <d v="2024-05-16T00:00:00"/>
    <m/>
    <m/>
    <m/>
    <m/>
    <s v="Dropped"/>
    <n v="1"/>
    <n v="0"/>
    <n v="0"/>
    <n v="0"/>
  </r>
  <r>
    <x v="52"/>
    <x v="3"/>
    <x v="3"/>
    <x v="0"/>
    <x v="1"/>
    <d v="2024-03-07T00:00:00"/>
    <d v="2024-03-11T00:00:00"/>
    <m/>
    <m/>
    <m/>
    <m/>
    <s v="Dropped"/>
    <n v="1"/>
    <n v="0"/>
    <n v="0"/>
    <n v="0"/>
  </r>
  <r>
    <x v="53"/>
    <x v="0"/>
    <x v="0"/>
    <x v="0"/>
    <x v="0"/>
    <d v="2024-04-21T00:00:00"/>
    <d v="2024-04-25T00:00:00"/>
    <m/>
    <m/>
    <m/>
    <m/>
    <s v="Dropped"/>
    <n v="1"/>
    <n v="0"/>
    <n v="0"/>
    <n v="0"/>
  </r>
  <r>
    <x v="54"/>
    <x v="1"/>
    <x v="1"/>
    <x v="0"/>
    <x v="2"/>
    <d v="2024-05-27T00:00:00"/>
    <d v="2024-05-29T00:00:00"/>
    <d v="2024-06-04T00:00:00"/>
    <d v="2024-06-09T00:00:00"/>
    <m/>
    <s v="Declined"/>
    <s v="Dropped"/>
    <n v="1"/>
    <n v="1"/>
    <n v="1"/>
    <n v="0"/>
  </r>
  <r>
    <x v="55"/>
    <x v="2"/>
    <x v="2"/>
    <x v="3"/>
    <x v="2"/>
    <d v="2024-01-18T00:00:00"/>
    <m/>
    <m/>
    <m/>
    <m/>
    <m/>
    <s v="Dropped"/>
    <n v="0"/>
    <n v="0"/>
    <n v="0"/>
    <n v="0"/>
  </r>
  <r>
    <x v="56"/>
    <x v="3"/>
    <x v="3"/>
    <x v="3"/>
    <x v="0"/>
    <d v="2024-02-01T00:00:00"/>
    <m/>
    <m/>
    <m/>
    <m/>
    <m/>
    <s v="Dropped"/>
    <n v="0"/>
    <n v="0"/>
    <n v="0"/>
    <n v="0"/>
  </r>
  <r>
    <x v="57"/>
    <x v="3"/>
    <x v="3"/>
    <x v="3"/>
    <x v="0"/>
    <d v="2024-04-14T00:00:00"/>
    <d v="2024-04-20T00:00:00"/>
    <d v="2024-04-23T00:00:00"/>
    <m/>
    <m/>
    <m/>
    <s v="Dropped"/>
    <n v="1"/>
    <n v="1"/>
    <n v="0"/>
    <n v="0"/>
  </r>
  <r>
    <x v="58"/>
    <x v="2"/>
    <x v="2"/>
    <x v="1"/>
    <x v="0"/>
    <d v="2024-04-07T00:00:00"/>
    <m/>
    <m/>
    <m/>
    <m/>
    <m/>
    <s v="Dropped"/>
    <n v="0"/>
    <n v="0"/>
    <n v="0"/>
    <n v="0"/>
  </r>
  <r>
    <x v="59"/>
    <x v="2"/>
    <x v="2"/>
    <x v="3"/>
    <x v="2"/>
    <d v="2024-05-20T00:00:00"/>
    <d v="2024-05-23T00:00:00"/>
    <d v="2024-05-28T00:00:00"/>
    <m/>
    <m/>
    <m/>
    <s v="Dropped"/>
    <n v="1"/>
    <n v="1"/>
    <n v="0"/>
    <n v="0"/>
  </r>
  <r>
    <x v="60"/>
    <x v="3"/>
    <x v="3"/>
    <x v="1"/>
    <x v="2"/>
    <d v="2024-04-23T00:00:00"/>
    <m/>
    <m/>
    <m/>
    <m/>
    <m/>
    <s v="Dropped"/>
    <n v="0"/>
    <n v="0"/>
    <n v="0"/>
    <n v="0"/>
  </r>
  <r>
    <x v="61"/>
    <x v="2"/>
    <x v="2"/>
    <x v="1"/>
    <x v="0"/>
    <d v="2024-02-13T00:00:00"/>
    <m/>
    <m/>
    <m/>
    <m/>
    <m/>
    <s v="Dropped"/>
    <n v="0"/>
    <n v="0"/>
    <n v="0"/>
    <n v="0"/>
  </r>
  <r>
    <x v="62"/>
    <x v="0"/>
    <x v="0"/>
    <x v="3"/>
    <x v="0"/>
    <d v="2024-06-18T00:00:00"/>
    <m/>
    <m/>
    <m/>
    <m/>
    <m/>
    <s v="Dropped"/>
    <n v="0"/>
    <n v="0"/>
    <n v="0"/>
    <n v="0"/>
  </r>
  <r>
    <x v="63"/>
    <x v="3"/>
    <x v="3"/>
    <x v="0"/>
    <x v="1"/>
    <d v="2024-06-21T00:00:00"/>
    <d v="2024-06-23T00:00:00"/>
    <d v="2024-06-25T00:00:00"/>
    <d v="2024-06-27T00:00:00"/>
    <d v="2024-07-19T00:00:00"/>
    <s v="Accepted"/>
    <s v="Joined"/>
    <n v="1"/>
    <n v="1"/>
    <n v="1"/>
    <n v="1"/>
  </r>
  <r>
    <x v="64"/>
    <x v="0"/>
    <x v="0"/>
    <x v="1"/>
    <x v="2"/>
    <d v="2024-06-10T00:00:00"/>
    <m/>
    <m/>
    <m/>
    <m/>
    <m/>
    <s v="Dropped"/>
    <n v="0"/>
    <n v="0"/>
    <n v="0"/>
    <n v="0"/>
  </r>
  <r>
    <x v="65"/>
    <x v="2"/>
    <x v="2"/>
    <x v="1"/>
    <x v="2"/>
    <d v="2024-04-12T00:00:00"/>
    <d v="2024-04-17T00:00:00"/>
    <d v="2024-04-20T00:00:00"/>
    <d v="2024-04-22T00:00:00"/>
    <d v="2024-05-21T00:00:00"/>
    <s v="Accepted"/>
    <s v="Joined"/>
    <n v="1"/>
    <n v="1"/>
    <n v="1"/>
    <n v="1"/>
  </r>
  <r>
    <x v="66"/>
    <x v="1"/>
    <x v="1"/>
    <x v="0"/>
    <x v="0"/>
    <d v="2024-03-04T00:00:00"/>
    <d v="2024-03-11T00:00:00"/>
    <d v="2024-03-17T00:00:00"/>
    <d v="2024-03-22T00:00:00"/>
    <m/>
    <s v="Declined"/>
    <s v="Dropped"/>
    <n v="1"/>
    <n v="1"/>
    <n v="1"/>
    <n v="0"/>
  </r>
  <r>
    <x v="67"/>
    <x v="3"/>
    <x v="3"/>
    <x v="1"/>
    <x v="0"/>
    <d v="2024-05-09T00:00:00"/>
    <d v="2024-05-14T00:00:00"/>
    <m/>
    <m/>
    <m/>
    <m/>
    <s v="Dropped"/>
    <n v="1"/>
    <n v="0"/>
    <n v="0"/>
    <n v="0"/>
  </r>
  <r>
    <x v="68"/>
    <x v="2"/>
    <x v="2"/>
    <x v="1"/>
    <x v="2"/>
    <d v="2024-03-07T00:00:00"/>
    <d v="2024-03-11T00:00:00"/>
    <m/>
    <m/>
    <m/>
    <m/>
    <s v="Dropped"/>
    <n v="1"/>
    <n v="0"/>
    <n v="0"/>
    <n v="0"/>
  </r>
  <r>
    <x v="69"/>
    <x v="1"/>
    <x v="1"/>
    <x v="2"/>
    <x v="2"/>
    <d v="2024-04-22T00:00:00"/>
    <d v="2024-04-26T00:00:00"/>
    <m/>
    <m/>
    <m/>
    <m/>
    <s v="Dropped"/>
    <n v="1"/>
    <n v="0"/>
    <n v="0"/>
    <n v="0"/>
  </r>
  <r>
    <x v="70"/>
    <x v="2"/>
    <x v="2"/>
    <x v="3"/>
    <x v="2"/>
    <d v="2024-03-22T00:00:00"/>
    <m/>
    <m/>
    <m/>
    <m/>
    <m/>
    <s v="Dropped"/>
    <n v="0"/>
    <n v="0"/>
    <n v="0"/>
    <n v="0"/>
  </r>
  <r>
    <x v="71"/>
    <x v="0"/>
    <x v="0"/>
    <x v="2"/>
    <x v="1"/>
    <d v="2024-02-29T00:00:00"/>
    <d v="2024-03-03T00:00:00"/>
    <m/>
    <m/>
    <m/>
    <m/>
    <s v="Dropped"/>
    <n v="1"/>
    <n v="0"/>
    <n v="0"/>
    <n v="0"/>
  </r>
  <r>
    <x v="72"/>
    <x v="2"/>
    <x v="2"/>
    <x v="0"/>
    <x v="2"/>
    <d v="2024-04-14T00:00:00"/>
    <d v="2024-04-19T00:00:00"/>
    <m/>
    <m/>
    <m/>
    <m/>
    <s v="Dropped"/>
    <n v="1"/>
    <n v="0"/>
    <n v="0"/>
    <n v="0"/>
  </r>
  <r>
    <x v="73"/>
    <x v="1"/>
    <x v="1"/>
    <x v="0"/>
    <x v="1"/>
    <d v="2024-04-17T00:00:00"/>
    <d v="2024-04-24T00:00:00"/>
    <m/>
    <m/>
    <m/>
    <m/>
    <s v="Dropped"/>
    <n v="1"/>
    <n v="0"/>
    <n v="0"/>
    <n v="0"/>
  </r>
  <r>
    <x v="74"/>
    <x v="0"/>
    <x v="0"/>
    <x v="1"/>
    <x v="2"/>
    <d v="2024-01-02T00:00:00"/>
    <d v="2024-01-07T00:00:00"/>
    <d v="2024-01-13T00:00:00"/>
    <m/>
    <m/>
    <m/>
    <s v="Dropped"/>
    <n v="1"/>
    <n v="1"/>
    <n v="0"/>
    <n v="0"/>
  </r>
  <r>
    <x v="75"/>
    <x v="2"/>
    <x v="2"/>
    <x v="1"/>
    <x v="1"/>
    <d v="2024-03-10T00:00:00"/>
    <d v="2024-03-14T00:00:00"/>
    <d v="2024-03-21T00:00:00"/>
    <d v="2024-03-25T00:00:00"/>
    <m/>
    <s v="Declined"/>
    <s v="Dropped"/>
    <n v="1"/>
    <n v="1"/>
    <n v="1"/>
    <n v="0"/>
  </r>
  <r>
    <x v="76"/>
    <x v="2"/>
    <x v="2"/>
    <x v="1"/>
    <x v="1"/>
    <d v="2024-06-08T00:00:00"/>
    <m/>
    <m/>
    <m/>
    <m/>
    <m/>
    <s v="Dropped"/>
    <n v="0"/>
    <n v="0"/>
    <n v="0"/>
    <n v="0"/>
  </r>
  <r>
    <x v="77"/>
    <x v="0"/>
    <x v="0"/>
    <x v="1"/>
    <x v="0"/>
    <d v="2024-05-24T00:00:00"/>
    <m/>
    <m/>
    <m/>
    <m/>
    <m/>
    <s v="Dropped"/>
    <n v="0"/>
    <n v="0"/>
    <n v="0"/>
    <n v="0"/>
  </r>
  <r>
    <x v="78"/>
    <x v="0"/>
    <x v="0"/>
    <x v="0"/>
    <x v="0"/>
    <d v="2024-04-19T00:00:00"/>
    <d v="2024-04-23T00:00:00"/>
    <d v="2024-04-28T00:00:00"/>
    <d v="2024-05-01T00:00:00"/>
    <d v="2024-05-14T00:00:00"/>
    <s v="Accepted"/>
    <s v="Joined"/>
    <n v="1"/>
    <n v="1"/>
    <n v="1"/>
    <n v="1"/>
  </r>
  <r>
    <x v="79"/>
    <x v="1"/>
    <x v="1"/>
    <x v="3"/>
    <x v="2"/>
    <d v="2024-04-07T00:00:00"/>
    <d v="2024-04-09T00:00:00"/>
    <d v="2024-04-14T00:00:00"/>
    <m/>
    <m/>
    <m/>
    <s v="Dropped"/>
    <n v="1"/>
    <n v="1"/>
    <n v="0"/>
    <n v="0"/>
  </r>
  <r>
    <x v="80"/>
    <x v="4"/>
    <x v="4"/>
    <x v="4"/>
    <x v="3"/>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FF1FB9-699E-471A-A911-AA0F0F93FA3E}"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6:J11" firstHeaderRow="0" firstDataRow="1" firstDataCol="1"/>
  <pivotFields count="16">
    <pivotField dataField="1"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showAll="0"/>
    <pivotField showAll="0"/>
    <pivotField showAll="0"/>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5">
    <i>
      <x/>
    </i>
    <i>
      <x v="1"/>
    </i>
    <i>
      <x v="2"/>
    </i>
    <i>
      <x v="3"/>
    </i>
    <i t="grand">
      <x/>
    </i>
  </rowItems>
  <colFields count="1">
    <field x="-2"/>
  </colFields>
  <colItems count="2">
    <i>
      <x/>
    </i>
    <i i="1">
      <x v="1"/>
    </i>
  </colItems>
  <dataFields count="2">
    <dataField name="Sum of Joined Flag" fld="15" baseField="0" baseItem="0"/>
    <dataField name="Count of Candidate_ID"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50E842-1E37-4E7C-9866-C9BD267BDE4F}"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6:E12" firstHeaderRow="1" firstDataRow="1" firstDataCol="1"/>
  <pivotFields count="16">
    <pivotField showAll="0"/>
    <pivotField showAll="0"/>
    <pivotField showAll="0"/>
    <pivotField axis="axisRow" showAll="0">
      <items count="6">
        <item x="1"/>
        <item x="3"/>
        <item x="0"/>
        <item x="2"/>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Joined Flag" fld="1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9412CD-3DDE-4C67-B4EF-142315DF7A33}"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E4" firstHeaderRow="0" firstDataRow="1" firstDataCol="0"/>
  <pivotFields count="16">
    <pivotField dataField="1" showAll="0"/>
    <pivotField showAll="0">
      <items count="6">
        <item x="0"/>
        <item x="2"/>
        <item x="1"/>
        <item x="3"/>
        <item x="4"/>
        <item t="default"/>
      </items>
    </pivotField>
    <pivotField showAll="0">
      <items count="6">
        <item x="0"/>
        <item x="3"/>
        <item x="2"/>
        <item x="1"/>
        <item x="4"/>
        <item t="default"/>
      </items>
    </pivotField>
    <pivotField showAll="0"/>
    <pivotField showAll="0">
      <items count="5">
        <item x="1"/>
        <item x="2"/>
        <item x="0"/>
        <item x="3"/>
        <item t="default"/>
      </items>
    </pivotField>
    <pivotField showAll="0"/>
    <pivotField showAll="0"/>
    <pivotField showAll="0"/>
    <pivotField showAll="0"/>
    <pivotField showAll="0"/>
    <pivotField showAll="0"/>
    <pivotField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Count of Candidate_ID" fld="0" subtotal="count" baseField="0" baseItem="0"/>
    <dataField name="Sum of Shorlisted Flag" fld="12" baseField="0" baseItem="0"/>
    <dataField name="Sum of Interviewed Flag" fld="13" baseField="0" baseItem="0"/>
    <dataField name="Sum of Offered Flag" fld="14" baseField="0" baseItem="0"/>
    <dataField name="Sum of Joined Flag" fld="15" baseField="0" baseItem="0"/>
  </dataFields>
  <chartFormats count="10">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3"/>
          </reference>
        </references>
      </pivotArea>
    </chartFormat>
    <chartFormat chart="10" format="4" series="1">
      <pivotArea type="data" outline="0" fieldPosition="0">
        <references count="1">
          <reference field="4294967294" count="1" selected="0">
            <x v="4"/>
          </reference>
        </references>
      </pivotArea>
    </chartFormat>
    <chartFormat chart="12" format="10"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2"/>
          </reference>
        </references>
      </pivotArea>
    </chartFormat>
    <chartFormat chart="12" format="13" series="1">
      <pivotArea type="data" outline="0" fieldPosition="0">
        <references count="1">
          <reference field="4294967294" count="1" selected="0">
            <x v="3"/>
          </reference>
        </references>
      </pivotArea>
    </chartFormat>
    <chartFormat chart="12"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22DF7551-EB89-4F2C-AAB2-48162D714B8D}" sourceName="Job_Role">
  <pivotTables>
    <pivotTable tabId="3" name="PivotTable1"/>
  </pivotTables>
  <data>
    <tabular pivotCacheId="1232378761">
      <items count="5">
        <i x="0" s="1"/>
        <i x="2"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0E33FBA-40B9-46D5-892A-09824F1708B7}" sourceName="Department">
  <pivotTables>
    <pivotTable tabId="3" name="PivotTable1"/>
  </pivotTables>
  <data>
    <tabular pivotCacheId="1232378761">
      <items count="5">
        <i x="0" s="1"/>
        <i x="3" s="1"/>
        <i x="2"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ruiter" xr10:uid="{9BA20244-19C3-4F04-9937-DF1D224E35DE}" sourceName="Recruiter">
  <pivotTables>
    <pivotTable tabId="3" name="PivotTable1"/>
  </pivotTables>
  <data>
    <tabular pivotCacheId="1232378761">
      <items count="4">
        <i x="1" s="1"/>
        <i x="2" s="1"/>
        <i x="0"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Role" xr10:uid="{FA79A962-F1CF-4243-96C3-5C00ECBD8D55}" cache="Slicer_Job_Role" caption="Job_Role" rowHeight="241300"/>
  <slicer name="Department" xr10:uid="{E003910A-4BFB-4436-B43C-6EF67EBB00BC}" cache="Slicer_Department" caption="Department" rowHeight="241300"/>
  <slicer name="Recruiter" xr10:uid="{39A0828E-9597-47DB-93B7-E5A3AAC91998}" cache="Slicer_Recruiter" caption="Recruit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3B3AD2-65BD-465F-B371-F32832B105A3}" name="Table1" displayName="Table1" ref="A1:P81" totalsRowShown="0">
  <autoFilter ref="A1:P81" xr:uid="{6C3B3AD2-65BD-465F-B371-F32832B105A3}"/>
  <tableColumns count="16">
    <tableColumn id="1" xr3:uid="{C4231A20-8988-4B94-8462-E59336992BB3}" name="Candidate_ID"/>
    <tableColumn id="2" xr3:uid="{B6C922F5-657B-437C-A163-F190EAB1418E}" name="Job_Role"/>
    <tableColumn id="3" xr3:uid="{47639FC1-90CD-48CE-95F0-FDC2BFF6ED36}" name="Department"/>
    <tableColumn id="4" xr3:uid="{1F167DA1-B4EB-4F75-AD1B-C858CE45CB93}" name="Source_of_Hire"/>
    <tableColumn id="5" xr3:uid="{FB5D0E5E-705E-4DCD-847E-6CBDD3617192}" name="Recruiter"/>
    <tableColumn id="6" xr3:uid="{1779B4C6-9D6C-455F-8ABC-DBE1E42ECFC1}" name="Application_Date" dataDxfId="6"/>
    <tableColumn id="7" xr3:uid="{14770E0C-5208-4022-B490-8906F85CA50D}" name="Shortlisted_Date" dataDxfId="5"/>
    <tableColumn id="8" xr3:uid="{92975192-5451-4C28-9BEA-68899EB90236}" name="Interview_Date" dataDxfId="4"/>
    <tableColumn id="9" xr3:uid="{76901888-8749-48E8-8CD9-71A159412F61}" name="Offer_Date"/>
    <tableColumn id="10" xr3:uid="{AE335C57-0BF7-4907-B639-3E1A22D4F1AD}" name="Joining_Date"/>
    <tableColumn id="11" xr3:uid="{9296FA13-2545-4101-B7E6-D00AF42C669A}" name="Offer_Status"/>
    <tableColumn id="12" xr3:uid="{C68EAC7F-4602-4B16-AE74-6469B6905E20}" name="Hiring_Status"/>
    <tableColumn id="13" xr3:uid="{C623BD0C-B559-41CE-B727-9D7502ED6D55}" name="Shorlisted Flag" dataDxfId="3">
      <calculatedColumnFormula>IF(ISBLANK(Table1[Shortlisted_Date]),0,1)</calculatedColumnFormula>
    </tableColumn>
    <tableColumn id="14" xr3:uid="{E3D4B984-1E16-41A4-8C35-7ADF4D3CC9F9}" name="Interviewed Flag" dataDxfId="2">
      <calculatedColumnFormula>IF(ISBLANK(Table1[Interview_Date]),0,1)</calculatedColumnFormula>
    </tableColumn>
    <tableColumn id="15" xr3:uid="{53CBD4B3-1C6B-4C47-A0F5-905D739EE5E7}" name="Offered Flag" dataDxfId="1">
      <calculatedColumnFormula>IF(ISBLANK(Table1[Offer_Date]),0,1)</calculatedColumnFormula>
    </tableColumn>
    <tableColumn id="16" xr3:uid="{08FA4007-B5F8-47A3-B6E7-A70DB7C8E383}" name="Joined Flag" dataDxfId="0">
      <calculatedColumnFormula>IF(ISBLANK(Table1[Joining_Date]),0,1)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A589B-ECCD-4955-98B1-09318B066BC8}">
  <dimension ref="A1:P81"/>
  <sheetViews>
    <sheetView topLeftCell="A60" workbookViewId="0">
      <selection activeCell="E60" sqref="A1:XFD1048576"/>
    </sheetView>
  </sheetViews>
  <sheetFormatPr defaultRowHeight="15" x14ac:dyDescent="0.25"/>
  <cols>
    <col min="1" max="1" width="15" customWidth="1"/>
    <col min="2" max="2" width="17.5703125" bestFit="1" customWidth="1"/>
    <col min="3" max="3" width="13.85546875" customWidth="1"/>
    <col min="4" max="4" width="17.42578125" bestFit="1" customWidth="1"/>
    <col min="5" max="5" width="11.28515625" customWidth="1"/>
    <col min="6" max="6" width="18.42578125" customWidth="1"/>
    <col min="7" max="7" width="18" customWidth="1"/>
    <col min="8" max="8" width="16.85546875" customWidth="1"/>
    <col min="9" max="9" width="13" customWidth="1"/>
    <col min="10" max="10" width="14.5703125" customWidth="1"/>
    <col min="11" max="11" width="14.28515625" customWidth="1"/>
    <col min="12" max="12" width="14.85546875" customWidth="1"/>
    <col min="13" max="13" width="16.42578125" bestFit="1" customWidth="1"/>
    <col min="14" max="14" width="18.28515625" bestFit="1" customWidth="1"/>
    <col min="15" max="15" width="14.28515625" bestFit="1" customWidth="1"/>
  </cols>
  <sheetData>
    <row r="1" spans="1:16" x14ac:dyDescent="0.25">
      <c r="A1" t="s">
        <v>0</v>
      </c>
      <c r="B1" t="s">
        <v>1</v>
      </c>
      <c r="C1" t="s">
        <v>2</v>
      </c>
      <c r="D1" t="s">
        <v>3</v>
      </c>
      <c r="E1" t="s">
        <v>4</v>
      </c>
      <c r="F1" t="s">
        <v>5</v>
      </c>
      <c r="G1" t="s">
        <v>6</v>
      </c>
      <c r="H1" t="s">
        <v>7</v>
      </c>
      <c r="I1" t="s">
        <v>8</v>
      </c>
      <c r="J1" t="s">
        <v>9</v>
      </c>
      <c r="K1" t="s">
        <v>10</v>
      </c>
      <c r="L1" t="s">
        <v>11</v>
      </c>
      <c r="M1" t="s">
        <v>111</v>
      </c>
      <c r="N1" t="s">
        <v>112</v>
      </c>
      <c r="O1" t="s">
        <v>113</v>
      </c>
      <c r="P1" t="s">
        <v>114</v>
      </c>
    </row>
    <row r="2" spans="1:16" x14ac:dyDescent="0.25">
      <c r="A2" t="s">
        <v>12</v>
      </c>
      <c r="B2" t="s">
        <v>13</v>
      </c>
      <c r="C2" t="s">
        <v>14</v>
      </c>
      <c r="D2" t="s">
        <v>15</v>
      </c>
      <c r="E2" t="s">
        <v>16</v>
      </c>
      <c r="F2" s="1">
        <v>45362</v>
      </c>
      <c r="G2" s="1">
        <v>45369</v>
      </c>
      <c r="H2" s="1">
        <v>45376</v>
      </c>
      <c r="I2" s="1">
        <v>45381</v>
      </c>
      <c r="J2" s="1">
        <v>45390</v>
      </c>
      <c r="K2" t="s">
        <v>17</v>
      </c>
      <c r="L2" t="s">
        <v>18</v>
      </c>
      <c r="M2">
        <f>IF(ISBLANK(Table1[Shortlisted_Date]),0,1)</f>
        <v>1</v>
      </c>
      <c r="N2">
        <f>IF(ISBLANK(Table1[Interview_Date]),0,1)</f>
        <v>1</v>
      </c>
      <c r="O2">
        <f>IF(ISBLANK(Table1[Offer_Date]),0,1)</f>
        <v>1</v>
      </c>
      <c r="P2">
        <f>IF(ISBLANK(Table1[Joining_Date]),0,1)</f>
        <v>1</v>
      </c>
    </row>
    <row r="3" spans="1:16" x14ac:dyDescent="0.25">
      <c r="A3" t="s">
        <v>19</v>
      </c>
      <c r="B3" t="s">
        <v>20</v>
      </c>
      <c r="C3" t="s">
        <v>21</v>
      </c>
      <c r="D3" t="s">
        <v>15</v>
      </c>
      <c r="E3" t="s">
        <v>22</v>
      </c>
      <c r="F3" s="1">
        <v>45315</v>
      </c>
      <c r="G3" s="1">
        <v>45322</v>
      </c>
      <c r="H3" s="1">
        <v>45329</v>
      </c>
      <c r="I3" s="1">
        <v>45334</v>
      </c>
      <c r="J3" s="1">
        <v>45354</v>
      </c>
      <c r="K3" t="s">
        <v>17</v>
      </c>
      <c r="L3" t="s">
        <v>18</v>
      </c>
      <c r="M3">
        <f>IF(ISBLANK(Table1[Shortlisted_Date]),0,1)</f>
        <v>1</v>
      </c>
      <c r="N3">
        <f>IF(ISBLANK(Table1[Interview_Date]),0,1)</f>
        <v>1</v>
      </c>
      <c r="O3">
        <f>IF(ISBLANK(Table1[Offer_Date]),0,1)</f>
        <v>1</v>
      </c>
      <c r="P3">
        <f>IF(ISBLANK(Table1[Joining_Date]),0,1)</f>
        <v>1</v>
      </c>
    </row>
    <row r="4" spans="1:16" x14ac:dyDescent="0.25">
      <c r="A4" t="s">
        <v>23</v>
      </c>
      <c r="B4" t="s">
        <v>24</v>
      </c>
      <c r="C4" t="s">
        <v>25</v>
      </c>
      <c r="D4" t="s">
        <v>26</v>
      </c>
      <c r="E4" t="s">
        <v>16</v>
      </c>
      <c r="F4" s="1">
        <v>45363</v>
      </c>
      <c r="G4" s="1">
        <v>45367</v>
      </c>
      <c r="H4" s="1">
        <v>45371</v>
      </c>
      <c r="L4" t="s">
        <v>27</v>
      </c>
      <c r="M4">
        <f>IF(ISBLANK(Table1[Shortlisted_Date]),0,1)</f>
        <v>1</v>
      </c>
      <c r="N4">
        <f>IF(ISBLANK(Table1[Interview_Date]),0,1)</f>
        <v>1</v>
      </c>
      <c r="O4">
        <f>IF(ISBLANK(Table1[Offer_Date]),0,1)</f>
        <v>0</v>
      </c>
      <c r="P4">
        <f>IF(ISBLANK(Table1[Joining_Date]),0,1)</f>
        <v>0</v>
      </c>
    </row>
    <row r="5" spans="1:16" x14ac:dyDescent="0.25">
      <c r="A5" t="s">
        <v>28</v>
      </c>
      <c r="B5" t="s">
        <v>24</v>
      </c>
      <c r="C5" t="s">
        <v>25</v>
      </c>
      <c r="D5" t="s">
        <v>29</v>
      </c>
      <c r="E5" t="s">
        <v>30</v>
      </c>
      <c r="F5" s="1">
        <v>45318</v>
      </c>
      <c r="G5" s="1">
        <v>45322</v>
      </c>
      <c r="H5" s="1">
        <v>45328</v>
      </c>
      <c r="I5" s="1">
        <v>45331</v>
      </c>
      <c r="K5" t="s">
        <v>31</v>
      </c>
      <c r="L5" t="s">
        <v>27</v>
      </c>
      <c r="M5">
        <f>IF(ISBLANK(Table1[Shortlisted_Date]),0,1)</f>
        <v>1</v>
      </c>
      <c r="N5">
        <f>IF(ISBLANK(Table1[Interview_Date]),0,1)</f>
        <v>1</v>
      </c>
      <c r="O5">
        <f>IF(ISBLANK(Table1[Offer_Date]),0,1)</f>
        <v>1</v>
      </c>
      <c r="P5">
        <f>IF(ISBLANK(Table1[Joining_Date]),0,1)</f>
        <v>0</v>
      </c>
    </row>
    <row r="6" spans="1:16" x14ac:dyDescent="0.25">
      <c r="A6" t="s">
        <v>32</v>
      </c>
      <c r="B6" t="s">
        <v>13</v>
      </c>
      <c r="C6" t="s">
        <v>14</v>
      </c>
      <c r="D6" t="s">
        <v>26</v>
      </c>
      <c r="E6" t="s">
        <v>16</v>
      </c>
      <c r="F6" s="1">
        <v>45323</v>
      </c>
      <c r="G6" s="1">
        <v>45330</v>
      </c>
      <c r="H6" s="1">
        <v>45336</v>
      </c>
      <c r="L6" t="s">
        <v>27</v>
      </c>
      <c r="M6">
        <f>IF(ISBLANK(Table1[Shortlisted_Date]),0,1)</f>
        <v>1</v>
      </c>
      <c r="N6">
        <f>IF(ISBLANK(Table1[Interview_Date]),0,1)</f>
        <v>1</v>
      </c>
      <c r="O6">
        <f>IF(ISBLANK(Table1[Offer_Date]),0,1)</f>
        <v>0</v>
      </c>
      <c r="P6">
        <f>IF(ISBLANK(Table1[Joining_Date]),0,1)</f>
        <v>0</v>
      </c>
    </row>
    <row r="7" spans="1:16" x14ac:dyDescent="0.25">
      <c r="A7" t="s">
        <v>33</v>
      </c>
      <c r="B7" t="s">
        <v>34</v>
      </c>
      <c r="C7" t="s">
        <v>35</v>
      </c>
      <c r="D7" t="s">
        <v>29</v>
      </c>
      <c r="E7" t="s">
        <v>16</v>
      </c>
      <c r="F7" s="1">
        <v>45309</v>
      </c>
      <c r="G7" s="1">
        <v>45312</v>
      </c>
      <c r="L7" t="s">
        <v>27</v>
      </c>
      <c r="M7">
        <f>IF(ISBLANK(Table1[Shortlisted_Date]),0,1)</f>
        <v>1</v>
      </c>
      <c r="N7">
        <f>IF(ISBLANK(Table1[Interview_Date]),0,1)</f>
        <v>0</v>
      </c>
      <c r="O7">
        <f>IF(ISBLANK(Table1[Offer_Date]),0,1)</f>
        <v>0</v>
      </c>
      <c r="P7">
        <f>IF(ISBLANK(Table1[Joining_Date]),0,1)</f>
        <v>0</v>
      </c>
    </row>
    <row r="8" spans="1:16" x14ac:dyDescent="0.25">
      <c r="A8" t="s">
        <v>36</v>
      </c>
      <c r="B8" t="s">
        <v>34</v>
      </c>
      <c r="C8" t="s">
        <v>35</v>
      </c>
      <c r="D8" t="s">
        <v>15</v>
      </c>
      <c r="E8" t="s">
        <v>22</v>
      </c>
      <c r="F8" s="1">
        <v>45317</v>
      </c>
      <c r="G8" s="1">
        <v>45324</v>
      </c>
      <c r="H8" s="1">
        <v>45328</v>
      </c>
      <c r="L8" t="s">
        <v>27</v>
      </c>
      <c r="M8">
        <f>IF(ISBLANK(Table1[Shortlisted_Date]),0,1)</f>
        <v>1</v>
      </c>
      <c r="N8">
        <f>IF(ISBLANK(Table1[Interview_Date]),0,1)</f>
        <v>1</v>
      </c>
      <c r="O8">
        <f>IF(ISBLANK(Table1[Offer_Date]),0,1)</f>
        <v>0</v>
      </c>
      <c r="P8">
        <f>IF(ISBLANK(Table1[Joining_Date]),0,1)</f>
        <v>0</v>
      </c>
    </row>
    <row r="9" spans="1:16" x14ac:dyDescent="0.25">
      <c r="A9" t="s">
        <v>37</v>
      </c>
      <c r="B9" t="s">
        <v>24</v>
      </c>
      <c r="C9" t="s">
        <v>25</v>
      </c>
      <c r="D9" t="s">
        <v>38</v>
      </c>
      <c r="E9" t="s">
        <v>30</v>
      </c>
      <c r="F9" s="1">
        <v>45345</v>
      </c>
      <c r="L9" t="s">
        <v>27</v>
      </c>
      <c r="M9">
        <f>IF(ISBLANK(Table1[Shortlisted_Date]),0,1)</f>
        <v>0</v>
      </c>
      <c r="N9">
        <f>IF(ISBLANK(Table1[Interview_Date]),0,1)</f>
        <v>0</v>
      </c>
      <c r="O9">
        <f>IF(ISBLANK(Table1[Offer_Date]),0,1)</f>
        <v>0</v>
      </c>
      <c r="P9">
        <f>IF(ISBLANK(Table1[Joining_Date]),0,1)</f>
        <v>0</v>
      </c>
    </row>
    <row r="10" spans="1:16" x14ac:dyDescent="0.25">
      <c r="A10" t="s">
        <v>39</v>
      </c>
      <c r="B10" t="s">
        <v>34</v>
      </c>
      <c r="C10" t="s">
        <v>35</v>
      </c>
      <c r="D10" t="s">
        <v>15</v>
      </c>
      <c r="E10" t="s">
        <v>16</v>
      </c>
      <c r="F10" s="1">
        <v>45454</v>
      </c>
      <c r="G10" s="1">
        <v>45461</v>
      </c>
      <c r="L10" t="s">
        <v>27</v>
      </c>
      <c r="M10">
        <f>IF(ISBLANK(Table1[Shortlisted_Date]),0,1)</f>
        <v>1</v>
      </c>
      <c r="N10">
        <f>IF(ISBLANK(Table1[Interview_Date]),0,1)</f>
        <v>0</v>
      </c>
      <c r="O10">
        <f>IF(ISBLANK(Table1[Offer_Date]),0,1)</f>
        <v>0</v>
      </c>
      <c r="P10">
        <f>IF(ISBLANK(Table1[Joining_Date]),0,1)</f>
        <v>0</v>
      </c>
    </row>
    <row r="11" spans="1:16" x14ac:dyDescent="0.25">
      <c r="A11" t="s">
        <v>40</v>
      </c>
      <c r="B11" t="s">
        <v>24</v>
      </c>
      <c r="C11" t="s">
        <v>25</v>
      </c>
      <c r="D11" t="s">
        <v>29</v>
      </c>
      <c r="E11" t="s">
        <v>30</v>
      </c>
      <c r="F11" s="1">
        <v>45389</v>
      </c>
      <c r="G11" s="1">
        <v>45396</v>
      </c>
      <c r="L11" t="s">
        <v>27</v>
      </c>
      <c r="M11">
        <f>IF(ISBLANK(Table1[Shortlisted_Date]),0,1)</f>
        <v>1</v>
      </c>
      <c r="N11">
        <f>IF(ISBLANK(Table1[Interview_Date]),0,1)</f>
        <v>0</v>
      </c>
      <c r="O11">
        <f>IF(ISBLANK(Table1[Offer_Date]),0,1)</f>
        <v>0</v>
      </c>
      <c r="P11">
        <f>IF(ISBLANK(Table1[Joining_Date]),0,1)</f>
        <v>0</v>
      </c>
    </row>
    <row r="12" spans="1:16" x14ac:dyDescent="0.25">
      <c r="A12" t="s">
        <v>41</v>
      </c>
      <c r="B12" t="s">
        <v>24</v>
      </c>
      <c r="C12" t="s">
        <v>25</v>
      </c>
      <c r="D12" t="s">
        <v>38</v>
      </c>
      <c r="E12" t="s">
        <v>22</v>
      </c>
      <c r="F12" s="1">
        <v>45350</v>
      </c>
      <c r="G12" s="1">
        <v>45354</v>
      </c>
      <c r="H12" s="1">
        <v>45356</v>
      </c>
      <c r="L12" t="s">
        <v>27</v>
      </c>
      <c r="M12">
        <f>IF(ISBLANK(Table1[Shortlisted_Date]),0,1)</f>
        <v>1</v>
      </c>
      <c r="N12">
        <f>IF(ISBLANK(Table1[Interview_Date]),0,1)</f>
        <v>1</v>
      </c>
      <c r="O12">
        <f>IF(ISBLANK(Table1[Offer_Date]),0,1)</f>
        <v>0</v>
      </c>
      <c r="P12">
        <f>IF(ISBLANK(Table1[Joining_Date]),0,1)</f>
        <v>0</v>
      </c>
    </row>
    <row r="13" spans="1:16" x14ac:dyDescent="0.25">
      <c r="A13" t="s">
        <v>42</v>
      </c>
      <c r="B13" t="s">
        <v>24</v>
      </c>
      <c r="C13" t="s">
        <v>25</v>
      </c>
      <c r="D13" t="s">
        <v>38</v>
      </c>
      <c r="E13" t="s">
        <v>22</v>
      </c>
      <c r="F13" s="1">
        <v>45459</v>
      </c>
      <c r="G13" s="1">
        <v>45462</v>
      </c>
      <c r="H13" s="1">
        <v>45466</v>
      </c>
      <c r="L13" t="s">
        <v>27</v>
      </c>
      <c r="M13">
        <f>IF(ISBLANK(Table1[Shortlisted_Date]),0,1)</f>
        <v>1</v>
      </c>
      <c r="N13">
        <f>IF(ISBLANK(Table1[Interview_Date]),0,1)</f>
        <v>1</v>
      </c>
      <c r="O13">
        <f>IF(ISBLANK(Table1[Offer_Date]),0,1)</f>
        <v>0</v>
      </c>
      <c r="P13">
        <f>IF(ISBLANK(Table1[Joining_Date]),0,1)</f>
        <v>0</v>
      </c>
    </row>
    <row r="14" spans="1:16" x14ac:dyDescent="0.25">
      <c r="A14" t="s">
        <v>43</v>
      </c>
      <c r="B14" t="s">
        <v>24</v>
      </c>
      <c r="C14" t="s">
        <v>25</v>
      </c>
      <c r="D14" t="s">
        <v>29</v>
      </c>
      <c r="E14" t="s">
        <v>16</v>
      </c>
      <c r="F14" s="1">
        <v>45435</v>
      </c>
      <c r="L14" t="s">
        <v>27</v>
      </c>
      <c r="M14">
        <f>IF(ISBLANK(Table1[Shortlisted_Date]),0,1)</f>
        <v>0</v>
      </c>
      <c r="N14">
        <f>IF(ISBLANK(Table1[Interview_Date]),0,1)</f>
        <v>0</v>
      </c>
      <c r="O14">
        <f>IF(ISBLANK(Table1[Offer_Date]),0,1)</f>
        <v>0</v>
      </c>
      <c r="P14">
        <f>IF(ISBLANK(Table1[Joining_Date]),0,1)</f>
        <v>0</v>
      </c>
    </row>
    <row r="15" spans="1:16" x14ac:dyDescent="0.25">
      <c r="A15" t="s">
        <v>44</v>
      </c>
      <c r="B15" t="s">
        <v>34</v>
      </c>
      <c r="C15" t="s">
        <v>35</v>
      </c>
      <c r="D15" t="s">
        <v>26</v>
      </c>
      <c r="E15" t="s">
        <v>16</v>
      </c>
      <c r="F15" s="1">
        <v>45394</v>
      </c>
      <c r="G15" s="1">
        <v>45396</v>
      </c>
      <c r="H15" s="1">
        <v>45398</v>
      </c>
      <c r="I15" s="1">
        <v>45399</v>
      </c>
      <c r="K15" t="s">
        <v>31</v>
      </c>
      <c r="L15" t="s">
        <v>27</v>
      </c>
      <c r="M15">
        <f>IF(ISBLANK(Table1[Shortlisted_Date]),0,1)</f>
        <v>1</v>
      </c>
      <c r="N15">
        <f>IF(ISBLANK(Table1[Interview_Date]),0,1)</f>
        <v>1</v>
      </c>
      <c r="O15">
        <f>IF(ISBLANK(Table1[Offer_Date]),0,1)</f>
        <v>1</v>
      </c>
      <c r="P15">
        <f>IF(ISBLANK(Table1[Joining_Date]),0,1)</f>
        <v>0</v>
      </c>
    </row>
    <row r="16" spans="1:16" x14ac:dyDescent="0.25">
      <c r="A16" t="s">
        <v>45</v>
      </c>
      <c r="B16" t="s">
        <v>24</v>
      </c>
      <c r="C16" t="s">
        <v>25</v>
      </c>
      <c r="D16" t="s">
        <v>29</v>
      </c>
      <c r="E16" t="s">
        <v>16</v>
      </c>
      <c r="F16" s="1">
        <v>45400</v>
      </c>
      <c r="L16" t="s">
        <v>27</v>
      </c>
      <c r="M16">
        <f>IF(ISBLANK(Table1[Shortlisted_Date]),0,1)</f>
        <v>0</v>
      </c>
      <c r="N16">
        <f>IF(ISBLANK(Table1[Interview_Date]),0,1)</f>
        <v>0</v>
      </c>
      <c r="O16">
        <f>IF(ISBLANK(Table1[Offer_Date]),0,1)</f>
        <v>0</v>
      </c>
      <c r="P16">
        <f>IF(ISBLANK(Table1[Joining_Date]),0,1)</f>
        <v>0</v>
      </c>
    </row>
    <row r="17" spans="1:16" x14ac:dyDescent="0.25">
      <c r="A17" t="s">
        <v>46</v>
      </c>
      <c r="B17" t="s">
        <v>13</v>
      </c>
      <c r="C17" t="s">
        <v>14</v>
      </c>
      <c r="D17" t="s">
        <v>26</v>
      </c>
      <c r="E17" t="s">
        <v>30</v>
      </c>
      <c r="F17" s="1">
        <v>45444</v>
      </c>
      <c r="G17" s="1">
        <v>45448</v>
      </c>
      <c r="L17" t="s">
        <v>27</v>
      </c>
      <c r="M17">
        <f>IF(ISBLANK(Table1[Shortlisted_Date]),0,1)</f>
        <v>1</v>
      </c>
      <c r="N17">
        <f>IF(ISBLANK(Table1[Interview_Date]),0,1)</f>
        <v>0</v>
      </c>
      <c r="O17">
        <f>IF(ISBLANK(Table1[Offer_Date]),0,1)</f>
        <v>0</v>
      </c>
      <c r="P17">
        <f>IF(ISBLANK(Table1[Joining_Date]),0,1)</f>
        <v>0</v>
      </c>
    </row>
    <row r="18" spans="1:16" x14ac:dyDescent="0.25">
      <c r="A18" t="s">
        <v>47</v>
      </c>
      <c r="B18" t="s">
        <v>13</v>
      </c>
      <c r="C18" t="s">
        <v>14</v>
      </c>
      <c r="D18" t="s">
        <v>15</v>
      </c>
      <c r="E18" t="s">
        <v>16</v>
      </c>
      <c r="F18" s="1">
        <v>45429</v>
      </c>
      <c r="G18" s="1">
        <v>45433</v>
      </c>
      <c r="L18" t="s">
        <v>27</v>
      </c>
      <c r="M18">
        <f>IF(ISBLANK(Table1[Shortlisted_Date]),0,1)</f>
        <v>1</v>
      </c>
      <c r="N18">
        <f>IF(ISBLANK(Table1[Interview_Date]),0,1)</f>
        <v>0</v>
      </c>
      <c r="O18">
        <f>IF(ISBLANK(Table1[Offer_Date]),0,1)</f>
        <v>0</v>
      </c>
      <c r="P18">
        <f>IF(ISBLANK(Table1[Joining_Date]),0,1)</f>
        <v>0</v>
      </c>
    </row>
    <row r="19" spans="1:16" x14ac:dyDescent="0.25">
      <c r="A19" t="s">
        <v>48</v>
      </c>
      <c r="B19" t="s">
        <v>13</v>
      </c>
      <c r="C19" t="s">
        <v>14</v>
      </c>
      <c r="D19" t="s">
        <v>38</v>
      </c>
      <c r="E19" t="s">
        <v>30</v>
      </c>
      <c r="F19" s="1">
        <v>45332</v>
      </c>
      <c r="G19" s="1">
        <v>45338</v>
      </c>
      <c r="H19" s="1">
        <v>45341</v>
      </c>
      <c r="L19" t="s">
        <v>27</v>
      </c>
      <c r="M19">
        <f>IF(ISBLANK(Table1[Shortlisted_Date]),0,1)</f>
        <v>1</v>
      </c>
      <c r="N19">
        <f>IF(ISBLANK(Table1[Interview_Date]),0,1)</f>
        <v>1</v>
      </c>
      <c r="O19">
        <f>IF(ISBLANK(Table1[Offer_Date]),0,1)</f>
        <v>0</v>
      </c>
      <c r="P19">
        <f>IF(ISBLANK(Table1[Joining_Date]),0,1)</f>
        <v>0</v>
      </c>
    </row>
    <row r="20" spans="1:16" x14ac:dyDescent="0.25">
      <c r="A20" t="s">
        <v>49</v>
      </c>
      <c r="B20" t="s">
        <v>13</v>
      </c>
      <c r="C20" t="s">
        <v>14</v>
      </c>
      <c r="D20" t="s">
        <v>38</v>
      </c>
      <c r="E20" t="s">
        <v>16</v>
      </c>
      <c r="F20" s="1">
        <v>45421</v>
      </c>
      <c r="L20" t="s">
        <v>27</v>
      </c>
      <c r="M20">
        <f>IF(ISBLANK(Table1[Shortlisted_Date]),0,1)</f>
        <v>0</v>
      </c>
      <c r="N20">
        <f>IF(ISBLANK(Table1[Interview_Date]),0,1)</f>
        <v>0</v>
      </c>
      <c r="O20">
        <f>IF(ISBLANK(Table1[Offer_Date]),0,1)</f>
        <v>0</v>
      </c>
      <c r="P20">
        <f>IF(ISBLANK(Table1[Joining_Date]),0,1)</f>
        <v>0</v>
      </c>
    </row>
    <row r="21" spans="1:16" x14ac:dyDescent="0.25">
      <c r="A21" t="s">
        <v>50</v>
      </c>
      <c r="B21" t="s">
        <v>24</v>
      </c>
      <c r="C21" t="s">
        <v>25</v>
      </c>
      <c r="D21" t="s">
        <v>29</v>
      </c>
      <c r="E21" t="s">
        <v>30</v>
      </c>
      <c r="F21" s="1">
        <v>45333</v>
      </c>
      <c r="L21" t="s">
        <v>27</v>
      </c>
      <c r="M21">
        <f>IF(ISBLANK(Table1[Shortlisted_Date]),0,1)</f>
        <v>0</v>
      </c>
      <c r="N21">
        <f>IF(ISBLANK(Table1[Interview_Date]),0,1)</f>
        <v>0</v>
      </c>
      <c r="O21">
        <f>IF(ISBLANK(Table1[Offer_Date]),0,1)</f>
        <v>0</v>
      </c>
      <c r="P21">
        <f>IF(ISBLANK(Table1[Joining_Date]),0,1)</f>
        <v>0</v>
      </c>
    </row>
    <row r="22" spans="1:16" x14ac:dyDescent="0.25">
      <c r="A22" t="s">
        <v>51</v>
      </c>
      <c r="B22" t="s">
        <v>13</v>
      </c>
      <c r="C22" t="s">
        <v>14</v>
      </c>
      <c r="D22" t="s">
        <v>38</v>
      </c>
      <c r="E22" t="s">
        <v>30</v>
      </c>
      <c r="F22" s="1">
        <v>45296</v>
      </c>
      <c r="G22" s="1">
        <v>45299</v>
      </c>
      <c r="H22" s="1">
        <v>45301</v>
      </c>
      <c r="L22" t="s">
        <v>27</v>
      </c>
      <c r="M22">
        <f>IF(ISBLANK(Table1[Shortlisted_Date]),0,1)</f>
        <v>1</v>
      </c>
      <c r="N22">
        <f>IF(ISBLANK(Table1[Interview_Date]),0,1)</f>
        <v>1</v>
      </c>
      <c r="O22">
        <f>IF(ISBLANK(Table1[Offer_Date]),0,1)</f>
        <v>0</v>
      </c>
      <c r="P22">
        <f>IF(ISBLANK(Table1[Joining_Date]),0,1)</f>
        <v>0</v>
      </c>
    </row>
    <row r="23" spans="1:16" x14ac:dyDescent="0.25">
      <c r="A23" t="s">
        <v>52</v>
      </c>
      <c r="B23" t="s">
        <v>24</v>
      </c>
      <c r="C23" t="s">
        <v>25</v>
      </c>
      <c r="D23" t="s">
        <v>15</v>
      </c>
      <c r="E23" t="s">
        <v>22</v>
      </c>
      <c r="F23" s="1">
        <v>45416</v>
      </c>
      <c r="G23" s="1">
        <v>45419</v>
      </c>
      <c r="L23" t="s">
        <v>27</v>
      </c>
      <c r="M23">
        <f>IF(ISBLANK(Table1[Shortlisted_Date]),0,1)</f>
        <v>1</v>
      </c>
      <c r="N23">
        <f>IF(ISBLANK(Table1[Interview_Date]),0,1)</f>
        <v>0</v>
      </c>
      <c r="O23">
        <f>IF(ISBLANK(Table1[Offer_Date]),0,1)</f>
        <v>0</v>
      </c>
      <c r="P23">
        <f>IF(ISBLANK(Table1[Joining_Date]),0,1)</f>
        <v>0</v>
      </c>
    </row>
    <row r="24" spans="1:16" x14ac:dyDescent="0.25">
      <c r="A24" t="s">
        <v>53</v>
      </c>
      <c r="B24" t="s">
        <v>24</v>
      </c>
      <c r="C24" t="s">
        <v>25</v>
      </c>
      <c r="D24" t="s">
        <v>26</v>
      </c>
      <c r="E24" t="s">
        <v>16</v>
      </c>
      <c r="F24" s="1">
        <v>45334</v>
      </c>
      <c r="G24" s="1">
        <v>45340</v>
      </c>
      <c r="L24" t="s">
        <v>27</v>
      </c>
      <c r="M24">
        <f>IF(ISBLANK(Table1[Shortlisted_Date]),0,1)</f>
        <v>1</v>
      </c>
      <c r="N24">
        <f>IF(ISBLANK(Table1[Interview_Date]),0,1)</f>
        <v>0</v>
      </c>
      <c r="O24">
        <f>IF(ISBLANK(Table1[Offer_Date]),0,1)</f>
        <v>0</v>
      </c>
      <c r="P24">
        <f>IF(ISBLANK(Table1[Joining_Date]),0,1)</f>
        <v>0</v>
      </c>
    </row>
    <row r="25" spans="1:16" x14ac:dyDescent="0.25">
      <c r="A25" t="s">
        <v>54</v>
      </c>
      <c r="B25" t="s">
        <v>20</v>
      </c>
      <c r="C25" t="s">
        <v>21</v>
      </c>
      <c r="D25" t="s">
        <v>29</v>
      </c>
      <c r="E25" t="s">
        <v>16</v>
      </c>
      <c r="F25" s="1">
        <v>45468</v>
      </c>
      <c r="G25" s="1">
        <v>45472</v>
      </c>
      <c r="L25" t="s">
        <v>27</v>
      </c>
      <c r="M25">
        <f>IF(ISBLANK(Table1[Shortlisted_Date]),0,1)</f>
        <v>1</v>
      </c>
      <c r="N25">
        <f>IF(ISBLANK(Table1[Interview_Date]),0,1)</f>
        <v>0</v>
      </c>
      <c r="O25">
        <f>IF(ISBLANK(Table1[Offer_Date]),0,1)</f>
        <v>0</v>
      </c>
      <c r="P25">
        <f>IF(ISBLANK(Table1[Joining_Date]),0,1)</f>
        <v>0</v>
      </c>
    </row>
    <row r="26" spans="1:16" x14ac:dyDescent="0.25">
      <c r="A26" t="s">
        <v>55</v>
      </c>
      <c r="B26" t="s">
        <v>20</v>
      </c>
      <c r="C26" t="s">
        <v>21</v>
      </c>
      <c r="D26" t="s">
        <v>38</v>
      </c>
      <c r="E26" t="s">
        <v>30</v>
      </c>
      <c r="F26" s="1">
        <v>45424</v>
      </c>
      <c r="G26" s="1">
        <v>45426</v>
      </c>
      <c r="H26" s="1">
        <v>45430</v>
      </c>
      <c r="I26" s="1">
        <v>45431</v>
      </c>
      <c r="J26" s="1">
        <v>45456</v>
      </c>
      <c r="K26" t="s">
        <v>17</v>
      </c>
      <c r="L26" t="s">
        <v>18</v>
      </c>
      <c r="M26">
        <f>IF(ISBLANK(Table1[Shortlisted_Date]),0,1)</f>
        <v>1</v>
      </c>
      <c r="N26">
        <f>IF(ISBLANK(Table1[Interview_Date]),0,1)</f>
        <v>1</v>
      </c>
      <c r="O26">
        <f>IF(ISBLANK(Table1[Offer_Date]),0,1)</f>
        <v>1</v>
      </c>
      <c r="P26">
        <f>IF(ISBLANK(Table1[Joining_Date]),0,1)</f>
        <v>1</v>
      </c>
    </row>
    <row r="27" spans="1:16" x14ac:dyDescent="0.25">
      <c r="A27" t="s">
        <v>56</v>
      </c>
      <c r="B27" t="s">
        <v>24</v>
      </c>
      <c r="C27" t="s">
        <v>25</v>
      </c>
      <c r="D27" t="s">
        <v>29</v>
      </c>
      <c r="E27" t="s">
        <v>22</v>
      </c>
      <c r="F27" s="1">
        <v>45310</v>
      </c>
      <c r="L27" t="s">
        <v>27</v>
      </c>
      <c r="M27">
        <f>IF(ISBLANK(Table1[Shortlisted_Date]),0,1)</f>
        <v>0</v>
      </c>
      <c r="N27">
        <f>IF(ISBLANK(Table1[Interview_Date]),0,1)</f>
        <v>0</v>
      </c>
      <c r="O27">
        <f>IF(ISBLANK(Table1[Offer_Date]),0,1)</f>
        <v>0</v>
      </c>
      <c r="P27">
        <f>IF(ISBLANK(Table1[Joining_Date]),0,1)</f>
        <v>0</v>
      </c>
    </row>
    <row r="28" spans="1:16" x14ac:dyDescent="0.25">
      <c r="A28" t="s">
        <v>57</v>
      </c>
      <c r="B28" t="s">
        <v>13</v>
      </c>
      <c r="C28" t="s">
        <v>14</v>
      </c>
      <c r="D28" t="s">
        <v>29</v>
      </c>
      <c r="E28" t="s">
        <v>22</v>
      </c>
      <c r="F28" s="1">
        <v>45300</v>
      </c>
      <c r="G28" s="1">
        <v>45307</v>
      </c>
      <c r="H28" s="1">
        <v>45312</v>
      </c>
      <c r="I28" s="1">
        <v>45314</v>
      </c>
      <c r="K28" t="s">
        <v>31</v>
      </c>
      <c r="L28" t="s">
        <v>27</v>
      </c>
      <c r="M28">
        <f>IF(ISBLANK(Table1[Shortlisted_Date]),0,1)</f>
        <v>1</v>
      </c>
      <c r="N28">
        <f>IF(ISBLANK(Table1[Interview_Date]),0,1)</f>
        <v>1</v>
      </c>
      <c r="O28">
        <f>IF(ISBLANK(Table1[Offer_Date]),0,1)</f>
        <v>1</v>
      </c>
      <c r="P28">
        <f>IF(ISBLANK(Table1[Joining_Date]),0,1)</f>
        <v>0</v>
      </c>
    </row>
    <row r="29" spans="1:16" x14ac:dyDescent="0.25">
      <c r="A29" t="s">
        <v>58</v>
      </c>
      <c r="B29" t="s">
        <v>24</v>
      </c>
      <c r="C29" t="s">
        <v>25</v>
      </c>
      <c r="D29" t="s">
        <v>26</v>
      </c>
      <c r="E29" t="s">
        <v>22</v>
      </c>
      <c r="F29" s="1">
        <v>45413</v>
      </c>
      <c r="G29" s="1">
        <v>45420</v>
      </c>
      <c r="H29" s="1">
        <v>45425</v>
      </c>
      <c r="I29" s="1">
        <v>45428</v>
      </c>
      <c r="J29" s="1">
        <v>45448</v>
      </c>
      <c r="K29" t="s">
        <v>17</v>
      </c>
      <c r="L29" t="s">
        <v>18</v>
      </c>
      <c r="M29">
        <f>IF(ISBLANK(Table1[Shortlisted_Date]),0,1)</f>
        <v>1</v>
      </c>
      <c r="N29">
        <f>IF(ISBLANK(Table1[Interview_Date]),0,1)</f>
        <v>1</v>
      </c>
      <c r="O29">
        <f>IF(ISBLANK(Table1[Offer_Date]),0,1)</f>
        <v>1</v>
      </c>
      <c r="P29">
        <f>IF(ISBLANK(Table1[Joining_Date]),0,1)</f>
        <v>1</v>
      </c>
    </row>
    <row r="30" spans="1:16" x14ac:dyDescent="0.25">
      <c r="A30" t="s">
        <v>59</v>
      </c>
      <c r="B30" t="s">
        <v>20</v>
      </c>
      <c r="C30" t="s">
        <v>21</v>
      </c>
      <c r="D30" t="s">
        <v>26</v>
      </c>
      <c r="E30" t="s">
        <v>16</v>
      </c>
      <c r="F30" s="1">
        <v>45305</v>
      </c>
      <c r="L30" t="s">
        <v>27</v>
      </c>
      <c r="M30">
        <f>IF(ISBLANK(Table1[Shortlisted_Date]),0,1)</f>
        <v>0</v>
      </c>
      <c r="N30">
        <f>IF(ISBLANK(Table1[Interview_Date]),0,1)</f>
        <v>0</v>
      </c>
      <c r="O30">
        <f>IF(ISBLANK(Table1[Offer_Date]),0,1)</f>
        <v>0</v>
      </c>
      <c r="P30">
        <f>IF(ISBLANK(Table1[Joining_Date]),0,1)</f>
        <v>0</v>
      </c>
    </row>
    <row r="31" spans="1:16" x14ac:dyDescent="0.25">
      <c r="A31" t="s">
        <v>60</v>
      </c>
      <c r="B31" t="s">
        <v>13</v>
      </c>
      <c r="C31" t="s">
        <v>14</v>
      </c>
      <c r="D31" t="s">
        <v>15</v>
      </c>
      <c r="E31" t="s">
        <v>30</v>
      </c>
      <c r="F31" s="1">
        <v>45378</v>
      </c>
      <c r="G31" s="1">
        <v>45384</v>
      </c>
      <c r="H31" s="1">
        <v>45389</v>
      </c>
      <c r="I31" s="1">
        <v>45391</v>
      </c>
      <c r="J31" s="1">
        <v>45411</v>
      </c>
      <c r="K31" t="s">
        <v>17</v>
      </c>
      <c r="L31" t="s">
        <v>18</v>
      </c>
      <c r="M31">
        <f>IF(ISBLANK(Table1[Shortlisted_Date]),0,1)</f>
        <v>1</v>
      </c>
      <c r="N31">
        <f>IF(ISBLANK(Table1[Interview_Date]),0,1)</f>
        <v>1</v>
      </c>
      <c r="O31">
        <f>IF(ISBLANK(Table1[Offer_Date]),0,1)</f>
        <v>1</v>
      </c>
      <c r="P31">
        <f>IF(ISBLANK(Table1[Joining_Date]),0,1)</f>
        <v>1</v>
      </c>
    </row>
    <row r="32" spans="1:16" x14ac:dyDescent="0.25">
      <c r="A32" t="s">
        <v>61</v>
      </c>
      <c r="B32" t="s">
        <v>24</v>
      </c>
      <c r="C32" t="s">
        <v>25</v>
      </c>
      <c r="D32" t="s">
        <v>38</v>
      </c>
      <c r="E32" t="s">
        <v>30</v>
      </c>
      <c r="F32" s="1">
        <v>45355</v>
      </c>
      <c r="G32" s="1">
        <v>45362</v>
      </c>
      <c r="H32" s="1">
        <v>45368</v>
      </c>
      <c r="I32" s="1">
        <v>45369</v>
      </c>
      <c r="J32" s="1">
        <v>45378</v>
      </c>
      <c r="K32" t="s">
        <v>17</v>
      </c>
      <c r="L32" t="s">
        <v>18</v>
      </c>
      <c r="M32">
        <f>IF(ISBLANK(Table1[Shortlisted_Date]),0,1)</f>
        <v>1</v>
      </c>
      <c r="N32">
        <f>IF(ISBLANK(Table1[Interview_Date]),0,1)</f>
        <v>1</v>
      </c>
      <c r="O32">
        <f>IF(ISBLANK(Table1[Offer_Date]),0,1)</f>
        <v>1</v>
      </c>
      <c r="P32">
        <f>IF(ISBLANK(Table1[Joining_Date]),0,1)</f>
        <v>1</v>
      </c>
    </row>
    <row r="33" spans="1:16" x14ac:dyDescent="0.25">
      <c r="A33" t="s">
        <v>62</v>
      </c>
      <c r="B33" t="s">
        <v>24</v>
      </c>
      <c r="C33" t="s">
        <v>25</v>
      </c>
      <c r="D33" t="s">
        <v>29</v>
      </c>
      <c r="E33" t="s">
        <v>30</v>
      </c>
      <c r="F33" s="1">
        <v>45416</v>
      </c>
      <c r="G33" s="1">
        <v>45418</v>
      </c>
      <c r="H33" s="1">
        <v>45421</v>
      </c>
      <c r="L33" t="s">
        <v>27</v>
      </c>
      <c r="M33">
        <f>IF(ISBLANK(Table1[Shortlisted_Date]),0,1)</f>
        <v>1</v>
      </c>
      <c r="N33">
        <f>IF(ISBLANK(Table1[Interview_Date]),0,1)</f>
        <v>1</v>
      </c>
      <c r="O33">
        <f>IF(ISBLANK(Table1[Offer_Date]),0,1)</f>
        <v>0</v>
      </c>
      <c r="P33">
        <f>IF(ISBLANK(Table1[Joining_Date]),0,1)</f>
        <v>0</v>
      </c>
    </row>
    <row r="34" spans="1:16" x14ac:dyDescent="0.25">
      <c r="A34" t="s">
        <v>63</v>
      </c>
      <c r="B34" t="s">
        <v>20</v>
      </c>
      <c r="C34" t="s">
        <v>21</v>
      </c>
      <c r="D34" t="s">
        <v>15</v>
      </c>
      <c r="E34" t="s">
        <v>30</v>
      </c>
      <c r="F34" s="1">
        <v>45359</v>
      </c>
      <c r="G34" s="1">
        <v>45366</v>
      </c>
      <c r="H34" s="1">
        <v>45373</v>
      </c>
      <c r="L34" t="s">
        <v>27</v>
      </c>
      <c r="M34">
        <f>IF(ISBLANK(Table1[Shortlisted_Date]),0,1)</f>
        <v>1</v>
      </c>
      <c r="N34">
        <f>IF(ISBLANK(Table1[Interview_Date]),0,1)</f>
        <v>1</v>
      </c>
      <c r="O34">
        <f>IF(ISBLANK(Table1[Offer_Date]),0,1)</f>
        <v>0</v>
      </c>
      <c r="P34">
        <f>IF(ISBLANK(Table1[Joining_Date]),0,1)</f>
        <v>0</v>
      </c>
    </row>
    <row r="35" spans="1:16" x14ac:dyDescent="0.25">
      <c r="A35" t="s">
        <v>64</v>
      </c>
      <c r="B35" t="s">
        <v>20</v>
      </c>
      <c r="C35" t="s">
        <v>21</v>
      </c>
      <c r="D35" t="s">
        <v>29</v>
      </c>
      <c r="E35" t="s">
        <v>22</v>
      </c>
      <c r="F35" s="1">
        <v>45367</v>
      </c>
      <c r="G35" s="1">
        <v>45369</v>
      </c>
      <c r="H35" s="1">
        <v>45371</v>
      </c>
      <c r="I35" s="1">
        <v>45376</v>
      </c>
      <c r="K35" t="s">
        <v>31</v>
      </c>
      <c r="L35" t="s">
        <v>27</v>
      </c>
      <c r="M35">
        <f>IF(ISBLANK(Table1[Shortlisted_Date]),0,1)</f>
        <v>1</v>
      </c>
      <c r="N35">
        <f>IF(ISBLANK(Table1[Interview_Date]),0,1)</f>
        <v>1</v>
      </c>
      <c r="O35">
        <f>IF(ISBLANK(Table1[Offer_Date]),0,1)</f>
        <v>1</v>
      </c>
      <c r="P35">
        <f>IF(ISBLANK(Table1[Joining_Date]),0,1)</f>
        <v>0</v>
      </c>
    </row>
    <row r="36" spans="1:16" x14ac:dyDescent="0.25">
      <c r="A36" t="s">
        <v>65</v>
      </c>
      <c r="B36" t="s">
        <v>20</v>
      </c>
      <c r="C36" t="s">
        <v>21</v>
      </c>
      <c r="D36" t="s">
        <v>29</v>
      </c>
      <c r="E36" t="s">
        <v>22</v>
      </c>
      <c r="F36" s="1">
        <v>45422</v>
      </c>
      <c r="G36" s="1">
        <v>45429</v>
      </c>
      <c r="H36" s="1">
        <v>45432</v>
      </c>
      <c r="I36" s="1">
        <v>45436</v>
      </c>
      <c r="J36" s="1">
        <v>45446</v>
      </c>
      <c r="K36" t="s">
        <v>17</v>
      </c>
      <c r="L36" t="s">
        <v>18</v>
      </c>
      <c r="M36">
        <f>IF(ISBLANK(Table1[Shortlisted_Date]),0,1)</f>
        <v>1</v>
      </c>
      <c r="N36">
        <f>IF(ISBLANK(Table1[Interview_Date]),0,1)</f>
        <v>1</v>
      </c>
      <c r="O36">
        <f>IF(ISBLANK(Table1[Offer_Date]),0,1)</f>
        <v>1</v>
      </c>
      <c r="P36">
        <f>IF(ISBLANK(Table1[Joining_Date]),0,1)</f>
        <v>1</v>
      </c>
    </row>
    <row r="37" spans="1:16" x14ac:dyDescent="0.25">
      <c r="A37" t="s">
        <v>66</v>
      </c>
      <c r="B37" t="s">
        <v>24</v>
      </c>
      <c r="C37" t="s">
        <v>25</v>
      </c>
      <c r="D37" t="s">
        <v>15</v>
      </c>
      <c r="E37" t="s">
        <v>16</v>
      </c>
      <c r="F37" s="1">
        <v>45312</v>
      </c>
      <c r="G37" s="1">
        <v>45318</v>
      </c>
      <c r="L37" t="s">
        <v>27</v>
      </c>
      <c r="M37">
        <f>IF(ISBLANK(Table1[Shortlisted_Date]),0,1)</f>
        <v>1</v>
      </c>
      <c r="N37">
        <f>IF(ISBLANK(Table1[Interview_Date]),0,1)</f>
        <v>0</v>
      </c>
      <c r="O37">
        <f>IF(ISBLANK(Table1[Offer_Date]),0,1)</f>
        <v>0</v>
      </c>
      <c r="P37">
        <f>IF(ISBLANK(Table1[Joining_Date]),0,1)</f>
        <v>0</v>
      </c>
    </row>
    <row r="38" spans="1:16" x14ac:dyDescent="0.25">
      <c r="A38" t="s">
        <v>67</v>
      </c>
      <c r="B38" t="s">
        <v>34</v>
      </c>
      <c r="C38" t="s">
        <v>35</v>
      </c>
      <c r="D38" t="s">
        <v>38</v>
      </c>
      <c r="E38" t="s">
        <v>22</v>
      </c>
      <c r="F38" s="1">
        <v>45463</v>
      </c>
      <c r="L38" t="s">
        <v>27</v>
      </c>
      <c r="M38">
        <f>IF(ISBLANK(Table1[Shortlisted_Date]),0,1)</f>
        <v>0</v>
      </c>
      <c r="N38">
        <f>IF(ISBLANK(Table1[Interview_Date]),0,1)</f>
        <v>0</v>
      </c>
      <c r="O38">
        <f>IF(ISBLANK(Table1[Offer_Date]),0,1)</f>
        <v>0</v>
      </c>
      <c r="P38">
        <f>IF(ISBLANK(Table1[Joining_Date]),0,1)</f>
        <v>0</v>
      </c>
    </row>
    <row r="39" spans="1:16" x14ac:dyDescent="0.25">
      <c r="A39" t="s">
        <v>68</v>
      </c>
      <c r="B39" t="s">
        <v>34</v>
      </c>
      <c r="C39" t="s">
        <v>35</v>
      </c>
      <c r="D39" t="s">
        <v>29</v>
      </c>
      <c r="E39" t="s">
        <v>30</v>
      </c>
      <c r="F39" s="1">
        <v>45393</v>
      </c>
      <c r="G39" s="1">
        <v>45400</v>
      </c>
      <c r="L39" t="s">
        <v>27</v>
      </c>
      <c r="M39">
        <f>IF(ISBLANK(Table1[Shortlisted_Date]),0,1)</f>
        <v>1</v>
      </c>
      <c r="N39">
        <f>IF(ISBLANK(Table1[Interview_Date]),0,1)</f>
        <v>0</v>
      </c>
      <c r="O39">
        <f>IF(ISBLANK(Table1[Offer_Date]),0,1)</f>
        <v>0</v>
      </c>
      <c r="P39">
        <f>IF(ISBLANK(Table1[Joining_Date]),0,1)</f>
        <v>0</v>
      </c>
    </row>
    <row r="40" spans="1:16" x14ac:dyDescent="0.25">
      <c r="A40" t="s">
        <v>69</v>
      </c>
      <c r="B40" t="s">
        <v>34</v>
      </c>
      <c r="C40" t="s">
        <v>35</v>
      </c>
      <c r="D40" t="s">
        <v>26</v>
      </c>
      <c r="E40" t="s">
        <v>30</v>
      </c>
      <c r="F40" s="1">
        <v>45310</v>
      </c>
      <c r="G40" s="1">
        <v>45316</v>
      </c>
      <c r="H40" s="1">
        <v>45319</v>
      </c>
      <c r="I40" s="1">
        <v>45324</v>
      </c>
      <c r="J40" s="1">
        <v>45339</v>
      </c>
      <c r="K40" t="s">
        <v>17</v>
      </c>
      <c r="L40" t="s">
        <v>18</v>
      </c>
      <c r="M40">
        <f>IF(ISBLANK(Table1[Shortlisted_Date]),0,1)</f>
        <v>1</v>
      </c>
      <c r="N40">
        <f>IF(ISBLANK(Table1[Interview_Date]),0,1)</f>
        <v>1</v>
      </c>
      <c r="O40">
        <f>IF(ISBLANK(Table1[Offer_Date]),0,1)</f>
        <v>1</v>
      </c>
      <c r="P40">
        <f>IF(ISBLANK(Table1[Joining_Date]),0,1)</f>
        <v>1</v>
      </c>
    </row>
    <row r="41" spans="1:16" x14ac:dyDescent="0.25">
      <c r="A41" t="s">
        <v>70</v>
      </c>
      <c r="B41" t="s">
        <v>24</v>
      </c>
      <c r="C41" t="s">
        <v>25</v>
      </c>
      <c r="D41" t="s">
        <v>38</v>
      </c>
      <c r="E41" t="s">
        <v>22</v>
      </c>
      <c r="F41" s="1">
        <v>45354</v>
      </c>
      <c r="G41" s="1">
        <v>45360</v>
      </c>
      <c r="H41" s="1">
        <v>45367</v>
      </c>
      <c r="I41" s="1">
        <v>45370</v>
      </c>
      <c r="K41" t="s">
        <v>31</v>
      </c>
      <c r="L41" t="s">
        <v>27</v>
      </c>
      <c r="M41">
        <f>IF(ISBLANK(Table1[Shortlisted_Date]),0,1)</f>
        <v>1</v>
      </c>
      <c r="N41">
        <f>IF(ISBLANK(Table1[Interview_Date]),0,1)</f>
        <v>1</v>
      </c>
      <c r="O41">
        <f>IF(ISBLANK(Table1[Offer_Date]),0,1)</f>
        <v>1</v>
      </c>
      <c r="P41">
        <f>IF(ISBLANK(Table1[Joining_Date]),0,1)</f>
        <v>0</v>
      </c>
    </row>
    <row r="42" spans="1:16" x14ac:dyDescent="0.25">
      <c r="A42" t="s">
        <v>71</v>
      </c>
      <c r="B42" t="s">
        <v>13</v>
      </c>
      <c r="C42" t="s">
        <v>14</v>
      </c>
      <c r="D42" t="s">
        <v>38</v>
      </c>
      <c r="E42" t="s">
        <v>16</v>
      </c>
      <c r="F42" s="1">
        <v>45318</v>
      </c>
      <c r="G42" s="1">
        <v>45325</v>
      </c>
      <c r="H42" s="1">
        <v>45331</v>
      </c>
      <c r="I42" s="1">
        <v>45333</v>
      </c>
      <c r="J42" s="1">
        <v>45348</v>
      </c>
      <c r="K42" t="s">
        <v>17</v>
      </c>
      <c r="L42" t="s">
        <v>18</v>
      </c>
      <c r="M42">
        <f>IF(ISBLANK(Table1[Shortlisted_Date]),0,1)</f>
        <v>1</v>
      </c>
      <c r="N42">
        <f>IF(ISBLANK(Table1[Interview_Date]),0,1)</f>
        <v>1</v>
      </c>
      <c r="O42">
        <f>IF(ISBLANK(Table1[Offer_Date]),0,1)</f>
        <v>1</v>
      </c>
      <c r="P42">
        <f>IF(ISBLANK(Table1[Joining_Date]),0,1)</f>
        <v>1</v>
      </c>
    </row>
    <row r="43" spans="1:16" x14ac:dyDescent="0.25">
      <c r="A43" t="s">
        <v>72</v>
      </c>
      <c r="B43" t="s">
        <v>34</v>
      </c>
      <c r="C43" t="s">
        <v>35</v>
      </c>
      <c r="D43" t="s">
        <v>29</v>
      </c>
      <c r="E43" t="s">
        <v>16</v>
      </c>
      <c r="F43" s="1">
        <v>45379</v>
      </c>
      <c r="G43" s="1">
        <v>45386</v>
      </c>
      <c r="L43" t="s">
        <v>27</v>
      </c>
      <c r="M43">
        <f>IF(ISBLANK(Table1[Shortlisted_Date]),0,1)</f>
        <v>1</v>
      </c>
      <c r="N43">
        <f>IF(ISBLANK(Table1[Interview_Date]),0,1)</f>
        <v>0</v>
      </c>
      <c r="O43">
        <f>IF(ISBLANK(Table1[Offer_Date]),0,1)</f>
        <v>0</v>
      </c>
      <c r="P43">
        <f>IF(ISBLANK(Table1[Joining_Date]),0,1)</f>
        <v>0</v>
      </c>
    </row>
    <row r="44" spans="1:16" x14ac:dyDescent="0.25">
      <c r="A44" t="s">
        <v>73</v>
      </c>
      <c r="B44" t="s">
        <v>34</v>
      </c>
      <c r="C44" t="s">
        <v>35</v>
      </c>
      <c r="D44" t="s">
        <v>26</v>
      </c>
      <c r="E44" t="s">
        <v>30</v>
      </c>
      <c r="F44" s="1">
        <v>45305</v>
      </c>
      <c r="G44" s="1">
        <v>45310</v>
      </c>
      <c r="L44" t="s">
        <v>27</v>
      </c>
      <c r="M44">
        <f>IF(ISBLANK(Table1[Shortlisted_Date]),0,1)</f>
        <v>1</v>
      </c>
      <c r="N44">
        <f>IF(ISBLANK(Table1[Interview_Date]),0,1)</f>
        <v>0</v>
      </c>
      <c r="O44">
        <f>IF(ISBLANK(Table1[Offer_Date]),0,1)</f>
        <v>0</v>
      </c>
      <c r="P44">
        <f>IF(ISBLANK(Table1[Joining_Date]),0,1)</f>
        <v>0</v>
      </c>
    </row>
    <row r="45" spans="1:16" x14ac:dyDescent="0.25">
      <c r="A45" t="s">
        <v>74</v>
      </c>
      <c r="B45" t="s">
        <v>34</v>
      </c>
      <c r="C45" t="s">
        <v>35</v>
      </c>
      <c r="D45" t="s">
        <v>15</v>
      </c>
      <c r="E45" t="s">
        <v>22</v>
      </c>
      <c r="F45" s="1">
        <v>45377</v>
      </c>
      <c r="G45" s="1">
        <v>45381</v>
      </c>
      <c r="L45" t="s">
        <v>27</v>
      </c>
      <c r="M45">
        <f>IF(ISBLANK(Table1[Shortlisted_Date]),0,1)</f>
        <v>1</v>
      </c>
      <c r="N45">
        <f>IF(ISBLANK(Table1[Interview_Date]),0,1)</f>
        <v>0</v>
      </c>
      <c r="O45">
        <f>IF(ISBLANK(Table1[Offer_Date]),0,1)</f>
        <v>0</v>
      </c>
      <c r="P45">
        <f>IF(ISBLANK(Table1[Joining_Date]),0,1)</f>
        <v>0</v>
      </c>
    </row>
    <row r="46" spans="1:16" x14ac:dyDescent="0.25">
      <c r="A46" t="s">
        <v>75</v>
      </c>
      <c r="B46" t="s">
        <v>24</v>
      </c>
      <c r="C46" t="s">
        <v>25</v>
      </c>
      <c r="D46" t="s">
        <v>26</v>
      </c>
      <c r="E46" t="s">
        <v>16</v>
      </c>
      <c r="F46" s="1">
        <v>45472</v>
      </c>
      <c r="G46" s="1">
        <v>45474</v>
      </c>
      <c r="L46" t="s">
        <v>27</v>
      </c>
      <c r="M46">
        <f>IF(ISBLANK(Table1[Shortlisted_Date]),0,1)</f>
        <v>1</v>
      </c>
      <c r="N46">
        <f>IF(ISBLANK(Table1[Interview_Date]),0,1)</f>
        <v>0</v>
      </c>
      <c r="O46">
        <f>IF(ISBLANK(Table1[Offer_Date]),0,1)</f>
        <v>0</v>
      </c>
      <c r="P46">
        <f>IF(ISBLANK(Table1[Joining_Date]),0,1)</f>
        <v>0</v>
      </c>
    </row>
    <row r="47" spans="1:16" x14ac:dyDescent="0.25">
      <c r="A47" t="s">
        <v>76</v>
      </c>
      <c r="B47" t="s">
        <v>13</v>
      </c>
      <c r="C47" t="s">
        <v>14</v>
      </c>
      <c r="D47" t="s">
        <v>15</v>
      </c>
      <c r="E47" t="s">
        <v>16</v>
      </c>
      <c r="F47" s="1">
        <v>45330</v>
      </c>
      <c r="L47" t="s">
        <v>27</v>
      </c>
      <c r="M47">
        <f>IF(ISBLANK(Table1[Shortlisted_Date]),0,1)</f>
        <v>0</v>
      </c>
      <c r="N47">
        <f>IF(ISBLANK(Table1[Interview_Date]),0,1)</f>
        <v>0</v>
      </c>
      <c r="O47">
        <f>IF(ISBLANK(Table1[Offer_Date]),0,1)</f>
        <v>0</v>
      </c>
      <c r="P47">
        <f>IF(ISBLANK(Table1[Joining_Date]),0,1)</f>
        <v>0</v>
      </c>
    </row>
    <row r="48" spans="1:16" x14ac:dyDescent="0.25">
      <c r="A48" t="s">
        <v>77</v>
      </c>
      <c r="B48" t="s">
        <v>13</v>
      </c>
      <c r="C48" t="s">
        <v>14</v>
      </c>
      <c r="D48" t="s">
        <v>38</v>
      </c>
      <c r="E48" t="s">
        <v>16</v>
      </c>
      <c r="F48" s="1">
        <v>45433</v>
      </c>
      <c r="G48" s="1">
        <v>45437</v>
      </c>
      <c r="H48" s="1">
        <v>45441</v>
      </c>
      <c r="I48" s="1">
        <v>45442</v>
      </c>
      <c r="J48" s="1">
        <v>45460</v>
      </c>
      <c r="K48" t="s">
        <v>17</v>
      </c>
      <c r="L48" t="s">
        <v>18</v>
      </c>
      <c r="M48">
        <f>IF(ISBLANK(Table1[Shortlisted_Date]),0,1)</f>
        <v>1</v>
      </c>
      <c r="N48">
        <f>IF(ISBLANK(Table1[Interview_Date]),0,1)</f>
        <v>1</v>
      </c>
      <c r="O48">
        <f>IF(ISBLANK(Table1[Offer_Date]),0,1)</f>
        <v>1</v>
      </c>
      <c r="P48">
        <f>IF(ISBLANK(Table1[Joining_Date]),0,1)</f>
        <v>1</v>
      </c>
    </row>
    <row r="49" spans="1:16" x14ac:dyDescent="0.25">
      <c r="A49" t="s">
        <v>78</v>
      </c>
      <c r="B49" t="s">
        <v>24</v>
      </c>
      <c r="C49" t="s">
        <v>25</v>
      </c>
      <c r="D49" t="s">
        <v>29</v>
      </c>
      <c r="E49" t="s">
        <v>16</v>
      </c>
      <c r="F49" s="1">
        <v>45318</v>
      </c>
      <c r="G49" s="1">
        <v>45323</v>
      </c>
      <c r="L49" t="s">
        <v>27</v>
      </c>
      <c r="M49">
        <f>IF(ISBLANK(Table1[Shortlisted_Date]),0,1)</f>
        <v>1</v>
      </c>
      <c r="N49">
        <f>IF(ISBLANK(Table1[Interview_Date]),0,1)</f>
        <v>0</v>
      </c>
      <c r="O49">
        <f>IF(ISBLANK(Table1[Offer_Date]),0,1)</f>
        <v>0</v>
      </c>
      <c r="P49">
        <f>IF(ISBLANK(Table1[Joining_Date]),0,1)</f>
        <v>0</v>
      </c>
    </row>
    <row r="50" spans="1:16" x14ac:dyDescent="0.25">
      <c r="A50" t="s">
        <v>79</v>
      </c>
      <c r="B50" t="s">
        <v>24</v>
      </c>
      <c r="C50" t="s">
        <v>25</v>
      </c>
      <c r="D50" t="s">
        <v>29</v>
      </c>
      <c r="E50" t="s">
        <v>22</v>
      </c>
      <c r="F50" s="1">
        <v>45337</v>
      </c>
      <c r="G50" s="1">
        <v>45342</v>
      </c>
      <c r="H50" s="1">
        <v>45349</v>
      </c>
      <c r="I50" s="1">
        <v>45351</v>
      </c>
      <c r="K50" t="s">
        <v>31</v>
      </c>
      <c r="L50" t="s">
        <v>27</v>
      </c>
      <c r="M50">
        <f>IF(ISBLANK(Table1[Shortlisted_Date]),0,1)</f>
        <v>1</v>
      </c>
      <c r="N50">
        <f>IF(ISBLANK(Table1[Interview_Date]),0,1)</f>
        <v>1</v>
      </c>
      <c r="O50">
        <f>IF(ISBLANK(Table1[Offer_Date]),0,1)</f>
        <v>1</v>
      </c>
      <c r="P50">
        <f>IF(ISBLANK(Table1[Joining_Date]),0,1)</f>
        <v>0</v>
      </c>
    </row>
    <row r="51" spans="1:16" x14ac:dyDescent="0.25">
      <c r="A51" t="s">
        <v>80</v>
      </c>
      <c r="B51" t="s">
        <v>34</v>
      </c>
      <c r="C51" t="s">
        <v>35</v>
      </c>
      <c r="D51" t="s">
        <v>29</v>
      </c>
      <c r="E51" t="s">
        <v>16</v>
      </c>
      <c r="F51" s="1">
        <v>45319</v>
      </c>
      <c r="G51" s="1">
        <v>45322</v>
      </c>
      <c r="H51" s="1">
        <v>45325</v>
      </c>
      <c r="L51" t="s">
        <v>27</v>
      </c>
      <c r="M51">
        <f>IF(ISBLANK(Table1[Shortlisted_Date]),0,1)</f>
        <v>1</v>
      </c>
      <c r="N51">
        <f>IF(ISBLANK(Table1[Interview_Date]),0,1)</f>
        <v>1</v>
      </c>
      <c r="O51">
        <f>IF(ISBLANK(Table1[Offer_Date]),0,1)</f>
        <v>0</v>
      </c>
      <c r="P51">
        <f>IF(ISBLANK(Table1[Joining_Date]),0,1)</f>
        <v>0</v>
      </c>
    </row>
    <row r="52" spans="1:16" x14ac:dyDescent="0.25">
      <c r="A52" t="s">
        <v>81</v>
      </c>
      <c r="B52" t="s">
        <v>20</v>
      </c>
      <c r="C52" t="s">
        <v>21</v>
      </c>
      <c r="D52" t="s">
        <v>38</v>
      </c>
      <c r="E52" t="s">
        <v>30</v>
      </c>
      <c r="F52" s="1">
        <v>45350</v>
      </c>
      <c r="G52" s="1">
        <v>45354</v>
      </c>
      <c r="H52" s="1">
        <v>45358</v>
      </c>
      <c r="I52" s="1">
        <v>45359</v>
      </c>
      <c r="K52" t="s">
        <v>31</v>
      </c>
      <c r="L52" t="s">
        <v>27</v>
      </c>
      <c r="M52">
        <f>IF(ISBLANK(Table1[Shortlisted_Date]),0,1)</f>
        <v>1</v>
      </c>
      <c r="N52">
        <f>IF(ISBLANK(Table1[Interview_Date]),0,1)</f>
        <v>1</v>
      </c>
      <c r="O52">
        <f>IF(ISBLANK(Table1[Offer_Date]),0,1)</f>
        <v>1</v>
      </c>
      <c r="P52">
        <f>IF(ISBLANK(Table1[Joining_Date]),0,1)</f>
        <v>0</v>
      </c>
    </row>
    <row r="53" spans="1:16" x14ac:dyDescent="0.25">
      <c r="A53" t="s">
        <v>82</v>
      </c>
      <c r="B53" t="s">
        <v>34</v>
      </c>
      <c r="C53" t="s">
        <v>35</v>
      </c>
      <c r="D53" t="s">
        <v>38</v>
      </c>
      <c r="E53" t="s">
        <v>16</v>
      </c>
      <c r="F53" s="1">
        <v>45422</v>
      </c>
      <c r="G53" s="1">
        <v>45428</v>
      </c>
      <c r="L53" t="s">
        <v>27</v>
      </c>
      <c r="M53">
        <f>IF(ISBLANK(Table1[Shortlisted_Date]),0,1)</f>
        <v>1</v>
      </c>
      <c r="N53">
        <f>IF(ISBLANK(Table1[Interview_Date]),0,1)</f>
        <v>0</v>
      </c>
      <c r="O53">
        <f>IF(ISBLANK(Table1[Offer_Date]),0,1)</f>
        <v>0</v>
      </c>
      <c r="P53">
        <f>IF(ISBLANK(Table1[Joining_Date]),0,1)</f>
        <v>0</v>
      </c>
    </row>
    <row r="54" spans="1:16" x14ac:dyDescent="0.25">
      <c r="A54" t="s">
        <v>83</v>
      </c>
      <c r="B54" t="s">
        <v>34</v>
      </c>
      <c r="C54" t="s">
        <v>35</v>
      </c>
      <c r="D54" t="s">
        <v>15</v>
      </c>
      <c r="E54" t="s">
        <v>22</v>
      </c>
      <c r="F54" s="1">
        <v>45358</v>
      </c>
      <c r="G54" s="1">
        <v>45362</v>
      </c>
      <c r="L54" t="s">
        <v>27</v>
      </c>
      <c r="M54">
        <f>IF(ISBLANK(Table1[Shortlisted_Date]),0,1)</f>
        <v>1</v>
      </c>
      <c r="N54">
        <f>IF(ISBLANK(Table1[Interview_Date]),0,1)</f>
        <v>0</v>
      </c>
      <c r="O54">
        <f>IF(ISBLANK(Table1[Offer_Date]),0,1)</f>
        <v>0</v>
      </c>
      <c r="P54">
        <f>IF(ISBLANK(Table1[Joining_Date]),0,1)</f>
        <v>0</v>
      </c>
    </row>
    <row r="55" spans="1:16" x14ac:dyDescent="0.25">
      <c r="A55" t="s">
        <v>84</v>
      </c>
      <c r="B55" t="s">
        <v>13</v>
      </c>
      <c r="C55" t="s">
        <v>14</v>
      </c>
      <c r="D55" t="s">
        <v>15</v>
      </c>
      <c r="E55" t="s">
        <v>16</v>
      </c>
      <c r="F55" s="1">
        <v>45403</v>
      </c>
      <c r="G55" s="1">
        <v>45407</v>
      </c>
      <c r="L55" t="s">
        <v>27</v>
      </c>
      <c r="M55">
        <f>IF(ISBLANK(Table1[Shortlisted_Date]),0,1)</f>
        <v>1</v>
      </c>
      <c r="N55">
        <f>IF(ISBLANK(Table1[Interview_Date]),0,1)</f>
        <v>0</v>
      </c>
      <c r="O55">
        <f>IF(ISBLANK(Table1[Offer_Date]),0,1)</f>
        <v>0</v>
      </c>
      <c r="P55">
        <f>IF(ISBLANK(Table1[Joining_Date]),0,1)</f>
        <v>0</v>
      </c>
    </row>
    <row r="56" spans="1:16" x14ac:dyDescent="0.25">
      <c r="A56" t="s">
        <v>85</v>
      </c>
      <c r="B56" t="s">
        <v>20</v>
      </c>
      <c r="C56" t="s">
        <v>21</v>
      </c>
      <c r="D56" t="s">
        <v>15</v>
      </c>
      <c r="E56" t="s">
        <v>30</v>
      </c>
      <c r="F56" s="1">
        <v>45439</v>
      </c>
      <c r="G56" s="1">
        <v>45441</v>
      </c>
      <c r="H56" s="1">
        <v>45447</v>
      </c>
      <c r="I56" s="1">
        <v>45452</v>
      </c>
      <c r="K56" t="s">
        <v>31</v>
      </c>
      <c r="L56" t="s">
        <v>27</v>
      </c>
      <c r="M56">
        <f>IF(ISBLANK(Table1[Shortlisted_Date]),0,1)</f>
        <v>1</v>
      </c>
      <c r="N56">
        <f>IF(ISBLANK(Table1[Interview_Date]),0,1)</f>
        <v>1</v>
      </c>
      <c r="O56">
        <f>IF(ISBLANK(Table1[Offer_Date]),0,1)</f>
        <v>1</v>
      </c>
      <c r="P56">
        <f>IF(ISBLANK(Table1[Joining_Date]),0,1)</f>
        <v>0</v>
      </c>
    </row>
    <row r="57" spans="1:16" x14ac:dyDescent="0.25">
      <c r="A57" t="s">
        <v>86</v>
      </c>
      <c r="B57" t="s">
        <v>24</v>
      </c>
      <c r="C57" t="s">
        <v>25</v>
      </c>
      <c r="D57" t="s">
        <v>38</v>
      </c>
      <c r="E57" t="s">
        <v>30</v>
      </c>
      <c r="F57" s="1">
        <v>45309</v>
      </c>
      <c r="L57" t="s">
        <v>27</v>
      </c>
      <c r="M57">
        <f>IF(ISBLANK(Table1[Shortlisted_Date]),0,1)</f>
        <v>0</v>
      </c>
      <c r="N57">
        <f>IF(ISBLANK(Table1[Interview_Date]),0,1)</f>
        <v>0</v>
      </c>
      <c r="O57">
        <f>IF(ISBLANK(Table1[Offer_Date]),0,1)</f>
        <v>0</v>
      </c>
      <c r="P57">
        <f>IF(ISBLANK(Table1[Joining_Date]),0,1)</f>
        <v>0</v>
      </c>
    </row>
    <row r="58" spans="1:16" x14ac:dyDescent="0.25">
      <c r="A58" t="s">
        <v>87</v>
      </c>
      <c r="B58" t="s">
        <v>34</v>
      </c>
      <c r="C58" t="s">
        <v>35</v>
      </c>
      <c r="D58" t="s">
        <v>38</v>
      </c>
      <c r="E58" t="s">
        <v>16</v>
      </c>
      <c r="F58" s="1">
        <v>45323</v>
      </c>
      <c r="L58" t="s">
        <v>27</v>
      </c>
      <c r="M58">
        <f>IF(ISBLANK(Table1[Shortlisted_Date]),0,1)</f>
        <v>0</v>
      </c>
      <c r="N58">
        <f>IF(ISBLANK(Table1[Interview_Date]),0,1)</f>
        <v>0</v>
      </c>
      <c r="O58">
        <f>IF(ISBLANK(Table1[Offer_Date]),0,1)</f>
        <v>0</v>
      </c>
      <c r="P58">
        <f>IF(ISBLANK(Table1[Joining_Date]),0,1)</f>
        <v>0</v>
      </c>
    </row>
    <row r="59" spans="1:16" x14ac:dyDescent="0.25">
      <c r="A59" t="s">
        <v>88</v>
      </c>
      <c r="B59" t="s">
        <v>34</v>
      </c>
      <c r="C59" t="s">
        <v>35</v>
      </c>
      <c r="D59" t="s">
        <v>38</v>
      </c>
      <c r="E59" t="s">
        <v>16</v>
      </c>
      <c r="F59" s="1">
        <v>45396</v>
      </c>
      <c r="G59" s="1">
        <v>45402</v>
      </c>
      <c r="H59" s="1">
        <v>45405</v>
      </c>
      <c r="L59" t="s">
        <v>27</v>
      </c>
      <c r="M59">
        <f>IF(ISBLANK(Table1[Shortlisted_Date]),0,1)</f>
        <v>1</v>
      </c>
      <c r="N59">
        <f>IF(ISBLANK(Table1[Interview_Date]),0,1)</f>
        <v>1</v>
      </c>
      <c r="O59">
        <f>IF(ISBLANK(Table1[Offer_Date]),0,1)</f>
        <v>0</v>
      </c>
      <c r="P59">
        <f>IF(ISBLANK(Table1[Joining_Date]),0,1)</f>
        <v>0</v>
      </c>
    </row>
    <row r="60" spans="1:16" x14ac:dyDescent="0.25">
      <c r="A60" t="s">
        <v>89</v>
      </c>
      <c r="B60" t="s">
        <v>24</v>
      </c>
      <c r="C60" t="s">
        <v>25</v>
      </c>
      <c r="D60" t="s">
        <v>26</v>
      </c>
      <c r="E60" t="s">
        <v>16</v>
      </c>
      <c r="F60" s="1">
        <v>45389</v>
      </c>
      <c r="L60" t="s">
        <v>27</v>
      </c>
      <c r="M60">
        <f>IF(ISBLANK(Table1[Shortlisted_Date]),0,1)</f>
        <v>0</v>
      </c>
      <c r="N60">
        <f>IF(ISBLANK(Table1[Interview_Date]),0,1)</f>
        <v>0</v>
      </c>
      <c r="O60">
        <f>IF(ISBLANK(Table1[Offer_Date]),0,1)</f>
        <v>0</v>
      </c>
      <c r="P60">
        <f>IF(ISBLANK(Table1[Joining_Date]),0,1)</f>
        <v>0</v>
      </c>
    </row>
    <row r="61" spans="1:16" x14ac:dyDescent="0.25">
      <c r="A61" t="s">
        <v>90</v>
      </c>
      <c r="B61" t="s">
        <v>24</v>
      </c>
      <c r="C61" t="s">
        <v>25</v>
      </c>
      <c r="D61" t="s">
        <v>38</v>
      </c>
      <c r="E61" t="s">
        <v>30</v>
      </c>
      <c r="F61" s="1">
        <v>45432</v>
      </c>
      <c r="G61" s="1">
        <v>45435</v>
      </c>
      <c r="H61" s="1">
        <v>45440</v>
      </c>
      <c r="L61" t="s">
        <v>27</v>
      </c>
      <c r="M61">
        <f>IF(ISBLANK(Table1[Shortlisted_Date]),0,1)</f>
        <v>1</v>
      </c>
      <c r="N61">
        <f>IF(ISBLANK(Table1[Interview_Date]),0,1)</f>
        <v>1</v>
      </c>
      <c r="O61">
        <f>IF(ISBLANK(Table1[Offer_Date]),0,1)</f>
        <v>0</v>
      </c>
      <c r="P61">
        <f>IF(ISBLANK(Table1[Joining_Date]),0,1)</f>
        <v>0</v>
      </c>
    </row>
    <row r="62" spans="1:16" x14ac:dyDescent="0.25">
      <c r="A62" t="s">
        <v>91</v>
      </c>
      <c r="B62" t="s">
        <v>34</v>
      </c>
      <c r="C62" t="s">
        <v>35</v>
      </c>
      <c r="D62" t="s">
        <v>26</v>
      </c>
      <c r="E62" t="s">
        <v>30</v>
      </c>
      <c r="F62" s="1">
        <v>45405</v>
      </c>
      <c r="L62" t="s">
        <v>27</v>
      </c>
      <c r="M62">
        <f>IF(ISBLANK(Table1[Shortlisted_Date]),0,1)</f>
        <v>0</v>
      </c>
      <c r="N62">
        <f>IF(ISBLANK(Table1[Interview_Date]),0,1)</f>
        <v>0</v>
      </c>
      <c r="O62">
        <f>IF(ISBLANK(Table1[Offer_Date]),0,1)</f>
        <v>0</v>
      </c>
      <c r="P62">
        <f>IF(ISBLANK(Table1[Joining_Date]),0,1)</f>
        <v>0</v>
      </c>
    </row>
    <row r="63" spans="1:16" x14ac:dyDescent="0.25">
      <c r="A63" t="s">
        <v>92</v>
      </c>
      <c r="B63" t="s">
        <v>24</v>
      </c>
      <c r="C63" t="s">
        <v>25</v>
      </c>
      <c r="D63" t="s">
        <v>26</v>
      </c>
      <c r="E63" t="s">
        <v>16</v>
      </c>
      <c r="F63" s="1">
        <v>45335</v>
      </c>
      <c r="L63" t="s">
        <v>27</v>
      </c>
      <c r="M63">
        <f>IF(ISBLANK(Table1[Shortlisted_Date]),0,1)</f>
        <v>0</v>
      </c>
      <c r="N63">
        <f>IF(ISBLANK(Table1[Interview_Date]),0,1)</f>
        <v>0</v>
      </c>
      <c r="O63">
        <f>IF(ISBLANK(Table1[Offer_Date]),0,1)</f>
        <v>0</v>
      </c>
      <c r="P63">
        <f>IF(ISBLANK(Table1[Joining_Date]),0,1)</f>
        <v>0</v>
      </c>
    </row>
    <row r="64" spans="1:16" x14ac:dyDescent="0.25">
      <c r="A64" t="s">
        <v>93</v>
      </c>
      <c r="B64" t="s">
        <v>13</v>
      </c>
      <c r="C64" t="s">
        <v>14</v>
      </c>
      <c r="D64" t="s">
        <v>38</v>
      </c>
      <c r="E64" t="s">
        <v>16</v>
      </c>
      <c r="F64" s="1">
        <v>45461</v>
      </c>
      <c r="L64" t="s">
        <v>27</v>
      </c>
      <c r="M64">
        <f>IF(ISBLANK(Table1[Shortlisted_Date]),0,1)</f>
        <v>0</v>
      </c>
      <c r="N64">
        <f>IF(ISBLANK(Table1[Interview_Date]),0,1)</f>
        <v>0</v>
      </c>
      <c r="O64">
        <f>IF(ISBLANK(Table1[Offer_Date]),0,1)</f>
        <v>0</v>
      </c>
      <c r="P64">
        <f>IF(ISBLANK(Table1[Joining_Date]),0,1)</f>
        <v>0</v>
      </c>
    </row>
    <row r="65" spans="1:16" x14ac:dyDescent="0.25">
      <c r="A65" t="s">
        <v>94</v>
      </c>
      <c r="B65" t="s">
        <v>34</v>
      </c>
      <c r="C65" t="s">
        <v>35</v>
      </c>
      <c r="D65" t="s">
        <v>15</v>
      </c>
      <c r="E65" t="s">
        <v>22</v>
      </c>
      <c r="F65" s="1">
        <v>45464</v>
      </c>
      <c r="G65" s="1">
        <v>45466</v>
      </c>
      <c r="H65" s="1">
        <v>45468</v>
      </c>
      <c r="I65" s="1">
        <v>45470</v>
      </c>
      <c r="J65" s="1">
        <v>45492</v>
      </c>
      <c r="K65" t="s">
        <v>17</v>
      </c>
      <c r="L65" t="s">
        <v>18</v>
      </c>
      <c r="M65">
        <f>IF(ISBLANK(Table1[Shortlisted_Date]),0,1)</f>
        <v>1</v>
      </c>
      <c r="N65">
        <f>IF(ISBLANK(Table1[Interview_Date]),0,1)</f>
        <v>1</v>
      </c>
      <c r="O65">
        <f>IF(ISBLANK(Table1[Offer_Date]),0,1)</f>
        <v>1</v>
      </c>
      <c r="P65">
        <f>IF(ISBLANK(Table1[Joining_Date]),0,1)</f>
        <v>1</v>
      </c>
    </row>
    <row r="66" spans="1:16" x14ac:dyDescent="0.25">
      <c r="A66" t="s">
        <v>95</v>
      </c>
      <c r="B66" t="s">
        <v>13</v>
      </c>
      <c r="C66" t="s">
        <v>14</v>
      </c>
      <c r="D66" t="s">
        <v>26</v>
      </c>
      <c r="E66" t="s">
        <v>30</v>
      </c>
      <c r="F66" s="1">
        <v>45453</v>
      </c>
      <c r="L66" t="s">
        <v>27</v>
      </c>
      <c r="M66">
        <f>IF(ISBLANK(Table1[Shortlisted_Date]),0,1)</f>
        <v>0</v>
      </c>
      <c r="N66">
        <f>IF(ISBLANK(Table1[Interview_Date]),0,1)</f>
        <v>0</v>
      </c>
      <c r="O66">
        <f>IF(ISBLANK(Table1[Offer_Date]),0,1)</f>
        <v>0</v>
      </c>
      <c r="P66">
        <f>IF(ISBLANK(Table1[Joining_Date]),0,1)</f>
        <v>0</v>
      </c>
    </row>
    <row r="67" spans="1:16" x14ac:dyDescent="0.25">
      <c r="A67" t="s">
        <v>96</v>
      </c>
      <c r="B67" t="s">
        <v>24</v>
      </c>
      <c r="C67" t="s">
        <v>25</v>
      </c>
      <c r="D67" t="s">
        <v>26</v>
      </c>
      <c r="E67" t="s">
        <v>30</v>
      </c>
      <c r="F67" s="1">
        <v>45394</v>
      </c>
      <c r="G67" s="1">
        <v>45399</v>
      </c>
      <c r="H67" s="1">
        <v>45402</v>
      </c>
      <c r="I67" s="1">
        <v>45404</v>
      </c>
      <c r="J67" s="1">
        <v>45433</v>
      </c>
      <c r="K67" t="s">
        <v>17</v>
      </c>
      <c r="L67" t="s">
        <v>18</v>
      </c>
      <c r="M67">
        <f>IF(ISBLANK(Table1[Shortlisted_Date]),0,1)</f>
        <v>1</v>
      </c>
      <c r="N67">
        <f>IF(ISBLANK(Table1[Interview_Date]),0,1)</f>
        <v>1</v>
      </c>
      <c r="O67">
        <f>IF(ISBLANK(Table1[Offer_Date]),0,1)</f>
        <v>1</v>
      </c>
      <c r="P67">
        <f>IF(ISBLANK(Table1[Joining_Date]),0,1)</f>
        <v>1</v>
      </c>
    </row>
    <row r="68" spans="1:16" x14ac:dyDescent="0.25">
      <c r="A68" t="s">
        <v>97</v>
      </c>
      <c r="B68" t="s">
        <v>20</v>
      </c>
      <c r="C68" t="s">
        <v>21</v>
      </c>
      <c r="D68" t="s">
        <v>15</v>
      </c>
      <c r="E68" t="s">
        <v>16</v>
      </c>
      <c r="F68" s="1">
        <v>45355</v>
      </c>
      <c r="G68" s="1">
        <v>45362</v>
      </c>
      <c r="H68" s="1">
        <v>45368</v>
      </c>
      <c r="I68" s="1">
        <v>45373</v>
      </c>
      <c r="K68" t="s">
        <v>31</v>
      </c>
      <c r="L68" t="s">
        <v>27</v>
      </c>
      <c r="M68">
        <f>IF(ISBLANK(Table1[Shortlisted_Date]),0,1)</f>
        <v>1</v>
      </c>
      <c r="N68">
        <f>IF(ISBLANK(Table1[Interview_Date]),0,1)</f>
        <v>1</v>
      </c>
      <c r="O68">
        <f>IF(ISBLANK(Table1[Offer_Date]),0,1)</f>
        <v>1</v>
      </c>
      <c r="P68">
        <f>IF(ISBLANK(Table1[Joining_Date]),0,1)</f>
        <v>0</v>
      </c>
    </row>
    <row r="69" spans="1:16" x14ac:dyDescent="0.25">
      <c r="A69" t="s">
        <v>98</v>
      </c>
      <c r="B69" t="s">
        <v>34</v>
      </c>
      <c r="C69" t="s">
        <v>35</v>
      </c>
      <c r="D69" t="s">
        <v>26</v>
      </c>
      <c r="E69" t="s">
        <v>16</v>
      </c>
      <c r="F69" s="1">
        <v>45421</v>
      </c>
      <c r="G69" s="1">
        <v>45426</v>
      </c>
      <c r="L69" t="s">
        <v>27</v>
      </c>
      <c r="M69">
        <f>IF(ISBLANK(Table1[Shortlisted_Date]),0,1)</f>
        <v>1</v>
      </c>
      <c r="N69">
        <f>IF(ISBLANK(Table1[Interview_Date]),0,1)</f>
        <v>0</v>
      </c>
      <c r="O69">
        <f>IF(ISBLANK(Table1[Offer_Date]),0,1)</f>
        <v>0</v>
      </c>
      <c r="P69">
        <f>IF(ISBLANK(Table1[Joining_Date]),0,1)</f>
        <v>0</v>
      </c>
    </row>
    <row r="70" spans="1:16" x14ac:dyDescent="0.25">
      <c r="A70" t="s">
        <v>99</v>
      </c>
      <c r="B70" t="s">
        <v>24</v>
      </c>
      <c r="C70" t="s">
        <v>25</v>
      </c>
      <c r="D70" t="s">
        <v>26</v>
      </c>
      <c r="E70" t="s">
        <v>30</v>
      </c>
      <c r="F70" s="1">
        <v>45358</v>
      </c>
      <c r="G70" s="1">
        <v>45362</v>
      </c>
      <c r="L70" t="s">
        <v>27</v>
      </c>
      <c r="M70">
        <f>IF(ISBLANK(Table1[Shortlisted_Date]),0,1)</f>
        <v>1</v>
      </c>
      <c r="N70">
        <f>IF(ISBLANK(Table1[Interview_Date]),0,1)</f>
        <v>0</v>
      </c>
      <c r="O70">
        <f>IF(ISBLANK(Table1[Offer_Date]),0,1)</f>
        <v>0</v>
      </c>
      <c r="P70">
        <f>IF(ISBLANK(Table1[Joining_Date]),0,1)</f>
        <v>0</v>
      </c>
    </row>
    <row r="71" spans="1:16" x14ac:dyDescent="0.25">
      <c r="A71" t="s">
        <v>100</v>
      </c>
      <c r="B71" t="s">
        <v>20</v>
      </c>
      <c r="C71" t="s">
        <v>21</v>
      </c>
      <c r="D71" t="s">
        <v>29</v>
      </c>
      <c r="E71" t="s">
        <v>30</v>
      </c>
      <c r="F71" s="1">
        <v>45404</v>
      </c>
      <c r="G71" s="1">
        <v>45408</v>
      </c>
      <c r="L71" t="s">
        <v>27</v>
      </c>
      <c r="M71">
        <f>IF(ISBLANK(Table1[Shortlisted_Date]),0,1)</f>
        <v>1</v>
      </c>
      <c r="N71">
        <f>IF(ISBLANK(Table1[Interview_Date]),0,1)</f>
        <v>0</v>
      </c>
      <c r="O71">
        <f>IF(ISBLANK(Table1[Offer_Date]),0,1)</f>
        <v>0</v>
      </c>
      <c r="P71">
        <f>IF(ISBLANK(Table1[Joining_Date]),0,1)</f>
        <v>0</v>
      </c>
    </row>
    <row r="72" spans="1:16" x14ac:dyDescent="0.25">
      <c r="A72" t="s">
        <v>101</v>
      </c>
      <c r="B72" t="s">
        <v>24</v>
      </c>
      <c r="C72" t="s">
        <v>25</v>
      </c>
      <c r="D72" t="s">
        <v>38</v>
      </c>
      <c r="E72" t="s">
        <v>30</v>
      </c>
      <c r="F72" s="1">
        <v>45373</v>
      </c>
      <c r="L72" t="s">
        <v>27</v>
      </c>
      <c r="M72">
        <f>IF(ISBLANK(Table1[Shortlisted_Date]),0,1)</f>
        <v>0</v>
      </c>
      <c r="N72">
        <f>IF(ISBLANK(Table1[Interview_Date]),0,1)</f>
        <v>0</v>
      </c>
      <c r="O72">
        <f>IF(ISBLANK(Table1[Offer_Date]),0,1)</f>
        <v>0</v>
      </c>
      <c r="P72">
        <f>IF(ISBLANK(Table1[Joining_Date]),0,1)</f>
        <v>0</v>
      </c>
    </row>
    <row r="73" spans="1:16" x14ac:dyDescent="0.25">
      <c r="A73" t="s">
        <v>102</v>
      </c>
      <c r="B73" t="s">
        <v>13</v>
      </c>
      <c r="C73" t="s">
        <v>14</v>
      </c>
      <c r="D73" t="s">
        <v>29</v>
      </c>
      <c r="E73" t="s">
        <v>22</v>
      </c>
      <c r="F73" s="1">
        <v>45351</v>
      </c>
      <c r="G73" s="1">
        <v>45354</v>
      </c>
      <c r="L73" t="s">
        <v>27</v>
      </c>
      <c r="M73">
        <f>IF(ISBLANK(Table1[Shortlisted_Date]),0,1)</f>
        <v>1</v>
      </c>
      <c r="N73">
        <f>IF(ISBLANK(Table1[Interview_Date]),0,1)</f>
        <v>0</v>
      </c>
      <c r="O73">
        <f>IF(ISBLANK(Table1[Offer_Date]),0,1)</f>
        <v>0</v>
      </c>
      <c r="P73">
        <f>IF(ISBLANK(Table1[Joining_Date]),0,1)</f>
        <v>0</v>
      </c>
    </row>
    <row r="74" spans="1:16" x14ac:dyDescent="0.25">
      <c r="A74" t="s">
        <v>103</v>
      </c>
      <c r="B74" t="s">
        <v>24</v>
      </c>
      <c r="C74" t="s">
        <v>25</v>
      </c>
      <c r="D74" t="s">
        <v>15</v>
      </c>
      <c r="E74" t="s">
        <v>30</v>
      </c>
      <c r="F74" s="1">
        <v>45396</v>
      </c>
      <c r="G74" s="1">
        <v>45401</v>
      </c>
      <c r="L74" t="s">
        <v>27</v>
      </c>
      <c r="M74">
        <f>IF(ISBLANK(Table1[Shortlisted_Date]),0,1)</f>
        <v>1</v>
      </c>
      <c r="N74">
        <f>IF(ISBLANK(Table1[Interview_Date]),0,1)</f>
        <v>0</v>
      </c>
      <c r="O74">
        <f>IF(ISBLANK(Table1[Offer_Date]),0,1)</f>
        <v>0</v>
      </c>
      <c r="P74">
        <f>IF(ISBLANK(Table1[Joining_Date]),0,1)</f>
        <v>0</v>
      </c>
    </row>
    <row r="75" spans="1:16" x14ac:dyDescent="0.25">
      <c r="A75" t="s">
        <v>104</v>
      </c>
      <c r="B75" t="s">
        <v>20</v>
      </c>
      <c r="C75" t="s">
        <v>21</v>
      </c>
      <c r="D75" t="s">
        <v>15</v>
      </c>
      <c r="E75" t="s">
        <v>22</v>
      </c>
      <c r="F75" s="1">
        <v>45399</v>
      </c>
      <c r="G75" s="1">
        <v>45406</v>
      </c>
      <c r="L75" t="s">
        <v>27</v>
      </c>
      <c r="M75">
        <f>IF(ISBLANK(Table1[Shortlisted_Date]),0,1)</f>
        <v>1</v>
      </c>
      <c r="N75">
        <f>IF(ISBLANK(Table1[Interview_Date]),0,1)</f>
        <v>0</v>
      </c>
      <c r="O75">
        <f>IF(ISBLANK(Table1[Offer_Date]),0,1)</f>
        <v>0</v>
      </c>
      <c r="P75">
        <f>IF(ISBLANK(Table1[Joining_Date]),0,1)</f>
        <v>0</v>
      </c>
    </row>
    <row r="76" spans="1:16" x14ac:dyDescent="0.25">
      <c r="A76" t="s">
        <v>105</v>
      </c>
      <c r="B76" t="s">
        <v>13</v>
      </c>
      <c r="C76" t="s">
        <v>14</v>
      </c>
      <c r="D76" t="s">
        <v>26</v>
      </c>
      <c r="E76" t="s">
        <v>30</v>
      </c>
      <c r="F76" s="1">
        <v>45293</v>
      </c>
      <c r="G76" s="1">
        <v>45298</v>
      </c>
      <c r="H76" s="1">
        <v>45304</v>
      </c>
      <c r="L76" t="s">
        <v>27</v>
      </c>
      <c r="M76">
        <f>IF(ISBLANK(Table1[Shortlisted_Date]),0,1)</f>
        <v>1</v>
      </c>
      <c r="N76">
        <f>IF(ISBLANK(Table1[Interview_Date]),0,1)</f>
        <v>1</v>
      </c>
      <c r="O76">
        <f>IF(ISBLANK(Table1[Offer_Date]),0,1)</f>
        <v>0</v>
      </c>
      <c r="P76">
        <f>IF(ISBLANK(Table1[Joining_Date]),0,1)</f>
        <v>0</v>
      </c>
    </row>
    <row r="77" spans="1:16" x14ac:dyDescent="0.25">
      <c r="A77" t="s">
        <v>106</v>
      </c>
      <c r="B77" t="s">
        <v>24</v>
      </c>
      <c r="C77" t="s">
        <v>25</v>
      </c>
      <c r="D77" t="s">
        <v>26</v>
      </c>
      <c r="E77" t="s">
        <v>22</v>
      </c>
      <c r="F77" s="1">
        <v>45361</v>
      </c>
      <c r="G77" s="1">
        <v>45365</v>
      </c>
      <c r="H77" s="1">
        <v>45372</v>
      </c>
      <c r="I77" s="1">
        <v>45376</v>
      </c>
      <c r="K77" t="s">
        <v>31</v>
      </c>
      <c r="L77" t="s">
        <v>27</v>
      </c>
      <c r="M77">
        <f>IF(ISBLANK(Table1[Shortlisted_Date]),0,1)</f>
        <v>1</v>
      </c>
      <c r="N77">
        <f>IF(ISBLANK(Table1[Interview_Date]),0,1)</f>
        <v>1</v>
      </c>
      <c r="O77">
        <f>IF(ISBLANK(Table1[Offer_Date]),0,1)</f>
        <v>1</v>
      </c>
      <c r="P77">
        <f>IF(ISBLANK(Table1[Joining_Date]),0,1)</f>
        <v>0</v>
      </c>
    </row>
    <row r="78" spans="1:16" x14ac:dyDescent="0.25">
      <c r="A78" t="s">
        <v>107</v>
      </c>
      <c r="B78" t="s">
        <v>24</v>
      </c>
      <c r="C78" t="s">
        <v>25</v>
      </c>
      <c r="D78" t="s">
        <v>26</v>
      </c>
      <c r="E78" t="s">
        <v>22</v>
      </c>
      <c r="F78" s="1">
        <v>45451</v>
      </c>
      <c r="L78" t="s">
        <v>27</v>
      </c>
      <c r="M78">
        <f>IF(ISBLANK(Table1[Shortlisted_Date]),0,1)</f>
        <v>0</v>
      </c>
      <c r="N78">
        <f>IF(ISBLANK(Table1[Interview_Date]),0,1)</f>
        <v>0</v>
      </c>
      <c r="O78">
        <f>IF(ISBLANK(Table1[Offer_Date]),0,1)</f>
        <v>0</v>
      </c>
      <c r="P78">
        <f>IF(ISBLANK(Table1[Joining_Date]),0,1)</f>
        <v>0</v>
      </c>
    </row>
    <row r="79" spans="1:16" x14ac:dyDescent="0.25">
      <c r="A79" t="s">
        <v>108</v>
      </c>
      <c r="B79" t="s">
        <v>13</v>
      </c>
      <c r="C79" t="s">
        <v>14</v>
      </c>
      <c r="D79" t="s">
        <v>26</v>
      </c>
      <c r="E79" t="s">
        <v>16</v>
      </c>
      <c r="F79" s="1">
        <v>45436</v>
      </c>
      <c r="L79" t="s">
        <v>27</v>
      </c>
      <c r="M79">
        <f>IF(ISBLANK(Table1[Shortlisted_Date]),0,1)</f>
        <v>0</v>
      </c>
      <c r="N79">
        <f>IF(ISBLANK(Table1[Interview_Date]),0,1)</f>
        <v>0</v>
      </c>
      <c r="O79">
        <f>IF(ISBLANK(Table1[Offer_Date]),0,1)</f>
        <v>0</v>
      </c>
      <c r="P79">
        <f>IF(ISBLANK(Table1[Joining_Date]),0,1)</f>
        <v>0</v>
      </c>
    </row>
    <row r="80" spans="1:16" x14ac:dyDescent="0.25">
      <c r="A80" t="s">
        <v>109</v>
      </c>
      <c r="B80" t="s">
        <v>13</v>
      </c>
      <c r="C80" t="s">
        <v>14</v>
      </c>
      <c r="D80" t="s">
        <v>15</v>
      </c>
      <c r="E80" t="s">
        <v>16</v>
      </c>
      <c r="F80" s="1">
        <v>45401</v>
      </c>
      <c r="G80" s="1">
        <v>45405</v>
      </c>
      <c r="H80" s="1">
        <v>45410</v>
      </c>
      <c r="I80" s="1">
        <v>45413</v>
      </c>
      <c r="J80" s="1">
        <v>45426</v>
      </c>
      <c r="K80" t="s">
        <v>17</v>
      </c>
      <c r="L80" t="s">
        <v>18</v>
      </c>
      <c r="M80">
        <f>IF(ISBLANK(Table1[Shortlisted_Date]),0,1)</f>
        <v>1</v>
      </c>
      <c r="N80">
        <f>IF(ISBLANK(Table1[Interview_Date]),0,1)</f>
        <v>1</v>
      </c>
      <c r="O80">
        <f>IF(ISBLANK(Table1[Offer_Date]),0,1)</f>
        <v>1</v>
      </c>
      <c r="P80">
        <f>IF(ISBLANK(Table1[Joining_Date]),0,1)</f>
        <v>1</v>
      </c>
    </row>
    <row r="81" spans="1:16" x14ac:dyDescent="0.25">
      <c r="A81" t="s">
        <v>110</v>
      </c>
      <c r="B81" t="s">
        <v>20</v>
      </c>
      <c r="C81" t="s">
        <v>21</v>
      </c>
      <c r="D81" t="s">
        <v>38</v>
      </c>
      <c r="E81" t="s">
        <v>30</v>
      </c>
      <c r="F81" s="1">
        <v>45389</v>
      </c>
      <c r="G81" s="1">
        <v>45391</v>
      </c>
      <c r="H81" s="1">
        <v>45396</v>
      </c>
      <c r="L81" t="s">
        <v>27</v>
      </c>
      <c r="M81">
        <f>IF(ISBLANK(Table1[Shortlisted_Date]),0,1)</f>
        <v>1</v>
      </c>
      <c r="N81">
        <f>IF(ISBLANK(Table1[Interview_Date]),0,1)</f>
        <v>1</v>
      </c>
      <c r="O81">
        <f>IF(ISBLANK(Table1[Offer_Date]),0,1)</f>
        <v>0</v>
      </c>
      <c r="P81">
        <f>IF(ISBLANK(Table1[Joining_Date]),0,1)</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F15AF-D23F-4B1A-891B-73AD01B20635}">
  <dimension ref="A1:E7"/>
  <sheetViews>
    <sheetView topLeftCell="A2" workbookViewId="0">
      <selection activeCell="C8" sqref="C8"/>
    </sheetView>
  </sheetViews>
  <sheetFormatPr defaultRowHeight="15" x14ac:dyDescent="0.25"/>
  <cols>
    <col min="1" max="1" width="23.140625" bestFit="1" customWidth="1"/>
    <col min="2" max="2" width="19.28515625" bestFit="1" customWidth="1"/>
    <col min="3" max="3" width="21" bestFit="1" customWidth="1"/>
    <col min="4" max="4" width="11.42578125" bestFit="1" customWidth="1"/>
    <col min="5" max="5" width="10.28515625" bestFit="1" customWidth="1"/>
  </cols>
  <sheetData>
    <row r="1" spans="1:5" x14ac:dyDescent="0.25">
      <c r="A1" t="s">
        <v>115</v>
      </c>
      <c r="B1" t="s">
        <v>116</v>
      </c>
      <c r="C1" t="s">
        <v>117</v>
      </c>
      <c r="D1" t="s">
        <v>118</v>
      </c>
      <c r="E1" t="s">
        <v>119</v>
      </c>
    </row>
    <row r="2" spans="1:5" x14ac:dyDescent="0.25">
      <c r="A2">
        <f>COUNTA(Table1[[#All],[Candidate_ID]])</f>
        <v>81</v>
      </c>
      <c r="B2">
        <f>SUM(Table1[Shorlisted Flag])</f>
        <v>61</v>
      </c>
      <c r="C2">
        <f>SUM(Table1[Interviewed Flag])</f>
        <v>37</v>
      </c>
      <c r="D2">
        <f>SUM(Table1[Offered Flag])</f>
        <v>23</v>
      </c>
      <c r="E2">
        <f>SUM(Table1[Joined Flag])</f>
        <v>13</v>
      </c>
    </row>
    <row r="6" spans="1:5" x14ac:dyDescent="0.25">
      <c r="A6" t="s">
        <v>120</v>
      </c>
      <c r="B6" t="s">
        <v>121</v>
      </c>
      <c r="C6" t="s">
        <v>122</v>
      </c>
    </row>
    <row r="7" spans="1:5" x14ac:dyDescent="0.25">
      <c r="A7">
        <f>B2/A2</f>
        <v>0.75308641975308643</v>
      </c>
      <c r="B7">
        <f>D2/C2</f>
        <v>0.6216216216216216</v>
      </c>
      <c r="C7">
        <f>E2/D2</f>
        <v>0.56521739130434778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0BE01-1975-44B9-9B8C-1E8EE0694637}">
  <dimension ref="A3:J12"/>
  <sheetViews>
    <sheetView topLeftCell="A3" workbookViewId="0">
      <selection activeCell="F14" sqref="F14"/>
    </sheetView>
  </sheetViews>
  <sheetFormatPr defaultRowHeight="15" x14ac:dyDescent="0.25"/>
  <cols>
    <col min="1" max="1" width="21.140625" bestFit="1" customWidth="1"/>
    <col min="2" max="2" width="20.85546875" bestFit="1" customWidth="1"/>
    <col min="3" max="3" width="22.85546875" bestFit="1" customWidth="1"/>
    <col min="4" max="4" width="18.85546875" bestFit="1" customWidth="1"/>
    <col min="5" max="5" width="17.7109375" bestFit="1" customWidth="1"/>
    <col min="8" max="8" width="13.140625" bestFit="1" customWidth="1"/>
    <col min="9" max="9" width="17.7109375" bestFit="1" customWidth="1"/>
    <col min="10" max="10" width="21.140625" bestFit="1" customWidth="1"/>
  </cols>
  <sheetData>
    <row r="3" spans="1:10" x14ac:dyDescent="0.25">
      <c r="A3" t="s">
        <v>123</v>
      </c>
      <c r="B3" t="s">
        <v>124</v>
      </c>
      <c r="C3" t="s">
        <v>125</v>
      </c>
      <c r="D3" t="s">
        <v>126</v>
      </c>
      <c r="E3" t="s">
        <v>127</v>
      </c>
    </row>
    <row r="4" spans="1:10" x14ac:dyDescent="0.25">
      <c r="A4" s="2">
        <v>80</v>
      </c>
      <c r="B4" s="2">
        <v>61</v>
      </c>
      <c r="C4" s="2">
        <v>37</v>
      </c>
      <c r="D4" s="2">
        <v>23</v>
      </c>
      <c r="E4" s="2">
        <v>13</v>
      </c>
    </row>
    <row r="6" spans="1:10" x14ac:dyDescent="0.25">
      <c r="D6" s="3" t="s">
        <v>128</v>
      </c>
      <c r="E6" t="s">
        <v>127</v>
      </c>
      <c r="H6" s="3" t="s">
        <v>128</v>
      </c>
      <c r="I6" t="s">
        <v>127</v>
      </c>
      <c r="J6" t="s">
        <v>123</v>
      </c>
    </row>
    <row r="7" spans="1:10" x14ac:dyDescent="0.25">
      <c r="D7" s="4" t="s">
        <v>26</v>
      </c>
      <c r="E7" s="2">
        <v>3</v>
      </c>
      <c r="H7" s="4" t="s">
        <v>22</v>
      </c>
      <c r="I7" s="2">
        <v>4</v>
      </c>
      <c r="J7" s="2">
        <v>20</v>
      </c>
    </row>
    <row r="8" spans="1:10" x14ac:dyDescent="0.25">
      <c r="D8" s="4" t="s">
        <v>38</v>
      </c>
      <c r="E8" s="2">
        <v>4</v>
      </c>
      <c r="H8" s="4" t="s">
        <v>30</v>
      </c>
      <c r="I8" s="2">
        <v>5</v>
      </c>
      <c r="J8" s="2">
        <v>28</v>
      </c>
    </row>
    <row r="9" spans="1:10" x14ac:dyDescent="0.25">
      <c r="D9" s="4" t="s">
        <v>15</v>
      </c>
      <c r="E9" s="2">
        <v>5</v>
      </c>
      <c r="H9" s="4" t="s">
        <v>16</v>
      </c>
      <c r="I9" s="2">
        <v>4</v>
      </c>
      <c r="J9" s="2">
        <v>32</v>
      </c>
    </row>
    <row r="10" spans="1:10" x14ac:dyDescent="0.25">
      <c r="D10" s="4" t="s">
        <v>29</v>
      </c>
      <c r="E10" s="2">
        <v>1</v>
      </c>
      <c r="H10" s="4" t="s">
        <v>129</v>
      </c>
      <c r="I10" s="2"/>
      <c r="J10" s="2"/>
    </row>
    <row r="11" spans="1:10" x14ac:dyDescent="0.25">
      <c r="D11" s="4" t="s">
        <v>129</v>
      </c>
      <c r="E11" s="2"/>
      <c r="H11" s="4" t="s">
        <v>130</v>
      </c>
      <c r="I11" s="2">
        <v>13</v>
      </c>
      <c r="J11" s="2">
        <v>80</v>
      </c>
    </row>
    <row r="12" spans="1:10" x14ac:dyDescent="0.25">
      <c r="D12" s="4" t="s">
        <v>130</v>
      </c>
      <c r="E12" s="2">
        <v>13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59E7D-ADDF-419E-ABC5-A4CF203EB48E}">
  <dimension ref="O12:O14"/>
  <sheetViews>
    <sheetView showGridLines="0" showRowColHeaders="0" tabSelected="1" zoomScaleNormal="100" workbookViewId="0">
      <selection activeCell="Q20" sqref="Q20"/>
    </sheetView>
  </sheetViews>
  <sheetFormatPr defaultRowHeight="15" x14ac:dyDescent="0.25"/>
  <sheetData>
    <row r="12" spans="15:15" x14ac:dyDescent="0.25">
      <c r="O12" t="s">
        <v>131</v>
      </c>
    </row>
    <row r="13" spans="15:15" x14ac:dyDescent="0.25">
      <c r="O13" t="s">
        <v>132</v>
      </c>
    </row>
    <row r="14" spans="15:15" x14ac:dyDescent="0.25">
      <c r="O14" t="s">
        <v>133</v>
      </c>
    </row>
  </sheetData>
  <pageMargins left="0.25" right="0.25"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KPI_Summary</vt:lpstr>
      <vt:lpstr>Funnel Pivot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priyal p</cp:lastModifiedBy>
  <dcterms:created xsi:type="dcterms:W3CDTF">2026-01-16T19:09:29Z</dcterms:created>
  <dcterms:modified xsi:type="dcterms:W3CDTF">2026-01-16T19:10:24Z</dcterms:modified>
</cp:coreProperties>
</file>